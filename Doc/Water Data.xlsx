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67b84992239917/"/>
    </mc:Choice>
  </mc:AlternateContent>
  <xr:revisionPtr revIDLastSave="0" documentId="8_{5DB2C6D4-ADDB-40E9-A5A5-D713501AA736}" xr6:coauthVersionLast="47" xr6:coauthVersionMax="47" xr10:uidLastSave="{00000000-0000-0000-0000-000000000000}"/>
  <bookViews>
    <workbookView xWindow="-110" yWindow="-110" windowWidth="19420" windowHeight="10300" xr2:uid="{4DD2CEE1-763F-499B-B124-01CEAA486B48}"/>
  </bookViews>
  <sheets>
    <sheet name="Chishti to Mansoor Nagar" sheetId="1" r:id="rId1"/>
    <sheet name="Raisamrohi" sheetId="2" r:id="rId2"/>
    <sheet name="Dabba Mor to Islam Chowk" sheetId="3" r:id="rId3"/>
  </sheets>
  <externalReferences>
    <externalReference r:id="rId4"/>
  </externalReferences>
  <definedNames>
    <definedName name="_xlnm._FilterDatabase" localSheetId="0" hidden="1">'Chishti to Mansoor Nagar'!$A$3:$P$71</definedName>
    <definedName name="_xlnm._FilterDatabase" localSheetId="2" hidden="1">'Dabba Mor to Islam Chowk'!$A$3:$P$90</definedName>
    <definedName name="_xlnm._FilterDatabase" localSheetId="1" hidden="1">Raisamrohi!$A$3:$P$36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6" i="3" l="1"/>
  <c r="K86" i="3"/>
  <c r="J86" i="3"/>
  <c r="I86" i="3"/>
  <c r="H86" i="3"/>
  <c r="G86" i="3"/>
  <c r="L85" i="3"/>
  <c r="K85" i="3"/>
  <c r="J85" i="3"/>
  <c r="I85" i="3"/>
  <c r="H85" i="3"/>
  <c r="G85" i="3"/>
  <c r="L84" i="3"/>
  <c r="K84" i="3"/>
  <c r="J84" i="3"/>
  <c r="I84" i="3"/>
  <c r="H84" i="3"/>
  <c r="G84" i="3"/>
  <c r="L83" i="3"/>
  <c r="K83" i="3"/>
  <c r="J83" i="3"/>
  <c r="I83" i="3"/>
  <c r="H83" i="3"/>
  <c r="G83" i="3"/>
  <c r="L82" i="3"/>
  <c r="K82" i="3"/>
  <c r="J82" i="3"/>
  <c r="I82" i="3"/>
  <c r="H82" i="3"/>
  <c r="G82" i="3"/>
  <c r="L81" i="3"/>
  <c r="K81" i="3"/>
  <c r="J81" i="3"/>
  <c r="I81" i="3"/>
  <c r="H81" i="3"/>
  <c r="G81" i="3"/>
  <c r="L80" i="3"/>
  <c r="K80" i="3"/>
  <c r="J80" i="3"/>
  <c r="I80" i="3"/>
  <c r="H80" i="3"/>
  <c r="G80" i="3"/>
  <c r="L79" i="3"/>
  <c r="K79" i="3"/>
  <c r="J79" i="3"/>
  <c r="I79" i="3"/>
  <c r="H79" i="3"/>
  <c r="G79" i="3"/>
  <c r="L78" i="3"/>
  <c r="K78" i="3"/>
  <c r="J78" i="3"/>
  <c r="I78" i="3"/>
  <c r="H78" i="3"/>
  <c r="G78" i="3"/>
  <c r="L77" i="3"/>
  <c r="K77" i="3"/>
  <c r="J77" i="3"/>
  <c r="I77" i="3"/>
  <c r="H77" i="3"/>
  <c r="G77" i="3"/>
  <c r="L76" i="3"/>
  <c r="K76" i="3"/>
  <c r="J76" i="3"/>
  <c r="I76" i="3"/>
  <c r="H76" i="3"/>
  <c r="G76" i="3"/>
  <c r="L75" i="3"/>
  <c r="K75" i="3"/>
  <c r="J75" i="3"/>
  <c r="I75" i="3"/>
  <c r="H75" i="3"/>
  <c r="G75" i="3"/>
  <c r="L74" i="3"/>
  <c r="K74" i="3"/>
  <c r="J74" i="3"/>
  <c r="I74" i="3"/>
  <c r="H74" i="3"/>
  <c r="G74" i="3"/>
  <c r="L73" i="3"/>
  <c r="K73" i="3"/>
  <c r="J73" i="3"/>
  <c r="I73" i="3"/>
  <c r="H73" i="3"/>
  <c r="G73" i="3"/>
  <c r="L72" i="3"/>
  <c r="K72" i="3"/>
  <c r="J72" i="3"/>
  <c r="I72" i="3"/>
  <c r="H72" i="3"/>
  <c r="G72" i="3"/>
  <c r="L71" i="3"/>
  <c r="K71" i="3"/>
  <c r="J71" i="3"/>
  <c r="I71" i="3"/>
  <c r="H71" i="3"/>
  <c r="G71" i="3"/>
  <c r="L70" i="3"/>
  <c r="K70" i="3"/>
  <c r="J70" i="3"/>
  <c r="I70" i="3"/>
  <c r="H70" i="3"/>
  <c r="G70" i="3"/>
  <c r="L69" i="3"/>
  <c r="K69" i="3"/>
  <c r="J69" i="3"/>
  <c r="I69" i="3"/>
  <c r="H69" i="3"/>
  <c r="G69" i="3"/>
  <c r="L68" i="3"/>
  <c r="K68" i="3"/>
  <c r="J68" i="3"/>
  <c r="I68" i="3"/>
  <c r="H68" i="3"/>
  <c r="G68" i="3"/>
  <c r="L67" i="3"/>
  <c r="K67" i="3"/>
  <c r="J67" i="3"/>
  <c r="I67" i="3"/>
  <c r="H67" i="3"/>
  <c r="G67" i="3"/>
  <c r="L66" i="3"/>
  <c r="K66" i="3"/>
  <c r="J66" i="3"/>
  <c r="I66" i="3"/>
  <c r="H66" i="3"/>
  <c r="G66" i="3"/>
  <c r="L65" i="3"/>
  <c r="K65" i="3"/>
  <c r="J65" i="3"/>
  <c r="I65" i="3"/>
  <c r="H65" i="3"/>
  <c r="G65" i="3"/>
  <c r="L64" i="3"/>
  <c r="K64" i="3"/>
  <c r="J64" i="3"/>
  <c r="I64" i="3"/>
  <c r="H64" i="3"/>
  <c r="G64" i="3"/>
  <c r="L63" i="3"/>
  <c r="K63" i="3"/>
  <c r="J63" i="3"/>
  <c r="I63" i="3"/>
  <c r="H63" i="3"/>
  <c r="G63" i="3"/>
  <c r="L62" i="3"/>
  <c r="K62" i="3"/>
  <c r="J62" i="3"/>
  <c r="I62" i="3"/>
  <c r="H62" i="3"/>
  <c r="G62" i="3"/>
  <c r="L61" i="3"/>
  <c r="K61" i="3"/>
  <c r="J61" i="3"/>
  <c r="I61" i="3"/>
  <c r="H61" i="3"/>
  <c r="G61" i="3"/>
  <c r="L60" i="3"/>
  <c r="K60" i="3"/>
  <c r="J60" i="3"/>
  <c r="I60" i="3"/>
  <c r="H60" i="3"/>
  <c r="G60" i="3"/>
  <c r="L59" i="3"/>
  <c r="K59" i="3"/>
  <c r="J59" i="3"/>
  <c r="I59" i="3"/>
  <c r="H59" i="3"/>
  <c r="G59" i="3"/>
  <c r="L58" i="3"/>
  <c r="K58" i="3"/>
  <c r="J58" i="3"/>
  <c r="I58" i="3"/>
  <c r="H58" i="3"/>
  <c r="G58" i="3"/>
  <c r="L57" i="3"/>
  <c r="K57" i="3"/>
  <c r="J57" i="3"/>
  <c r="I57" i="3"/>
  <c r="H57" i="3"/>
  <c r="G57" i="3"/>
  <c r="L56" i="3"/>
  <c r="K56" i="3"/>
  <c r="J56" i="3"/>
  <c r="I56" i="3"/>
  <c r="H56" i="3"/>
  <c r="G56" i="3"/>
  <c r="L55" i="3"/>
  <c r="K55" i="3"/>
  <c r="J55" i="3"/>
  <c r="I55" i="3"/>
  <c r="H55" i="3"/>
  <c r="G55" i="3"/>
  <c r="L54" i="3"/>
  <c r="K54" i="3"/>
  <c r="J54" i="3"/>
  <c r="I54" i="3"/>
  <c r="H54" i="3"/>
  <c r="G54" i="3"/>
  <c r="L53" i="3"/>
  <c r="K53" i="3"/>
  <c r="J53" i="3"/>
  <c r="I53" i="3"/>
  <c r="H53" i="3"/>
  <c r="G53" i="3"/>
  <c r="L52" i="3"/>
  <c r="K52" i="3"/>
  <c r="J52" i="3"/>
  <c r="I52" i="3"/>
  <c r="H52" i="3"/>
  <c r="G52" i="3"/>
  <c r="L51" i="3"/>
  <c r="K51" i="3"/>
  <c r="J51" i="3"/>
  <c r="I51" i="3"/>
  <c r="H51" i="3"/>
  <c r="G51" i="3"/>
  <c r="L50" i="3"/>
  <c r="K50" i="3"/>
  <c r="J50" i="3"/>
  <c r="I50" i="3"/>
  <c r="H50" i="3"/>
  <c r="G50" i="3"/>
  <c r="L49" i="3"/>
  <c r="K49" i="3"/>
  <c r="J49" i="3"/>
  <c r="I49" i="3"/>
  <c r="H49" i="3"/>
  <c r="G49" i="3"/>
  <c r="L48" i="3"/>
  <c r="K48" i="3"/>
  <c r="J48" i="3"/>
  <c r="I48" i="3"/>
  <c r="H48" i="3"/>
  <c r="G48" i="3"/>
  <c r="L47" i="3"/>
  <c r="K47" i="3"/>
  <c r="J47" i="3"/>
  <c r="I47" i="3"/>
  <c r="H47" i="3"/>
  <c r="G47" i="3"/>
  <c r="L46" i="3"/>
  <c r="K46" i="3"/>
  <c r="J46" i="3"/>
  <c r="I46" i="3"/>
  <c r="H46" i="3"/>
  <c r="G46" i="3"/>
  <c r="L45" i="3"/>
  <c r="K45" i="3"/>
  <c r="J45" i="3"/>
  <c r="I45" i="3"/>
  <c r="H45" i="3"/>
  <c r="G45" i="3"/>
  <c r="L44" i="3"/>
  <c r="K44" i="3"/>
  <c r="J44" i="3"/>
  <c r="I44" i="3"/>
  <c r="H44" i="3"/>
  <c r="G44" i="3"/>
  <c r="L43" i="3"/>
  <c r="K43" i="3"/>
  <c r="J43" i="3"/>
  <c r="I43" i="3"/>
  <c r="H43" i="3"/>
  <c r="G43" i="3"/>
  <c r="L42" i="3"/>
  <c r="K42" i="3"/>
  <c r="J42" i="3"/>
  <c r="I42" i="3"/>
  <c r="H42" i="3"/>
  <c r="G42" i="3"/>
  <c r="L41" i="3"/>
  <c r="K41" i="3"/>
  <c r="J41" i="3"/>
  <c r="I41" i="3"/>
  <c r="H41" i="3"/>
  <c r="G41" i="3"/>
  <c r="L40" i="3"/>
  <c r="K40" i="3"/>
  <c r="J40" i="3"/>
  <c r="I40" i="3"/>
  <c r="H40" i="3"/>
  <c r="G40" i="3"/>
  <c r="L39" i="3"/>
  <c r="K39" i="3"/>
  <c r="J39" i="3"/>
  <c r="I39" i="3"/>
  <c r="H39" i="3"/>
  <c r="G39" i="3"/>
  <c r="L38" i="3"/>
  <c r="K38" i="3"/>
  <c r="J38" i="3"/>
  <c r="I38" i="3"/>
  <c r="H38" i="3"/>
  <c r="G38" i="3"/>
  <c r="L37" i="3"/>
  <c r="K37" i="3"/>
  <c r="J37" i="3"/>
  <c r="I37" i="3"/>
  <c r="H37" i="3"/>
  <c r="G37" i="3"/>
  <c r="L36" i="3"/>
  <c r="K36" i="3"/>
  <c r="J36" i="3"/>
  <c r="I36" i="3"/>
  <c r="H36" i="3"/>
  <c r="G36" i="3"/>
  <c r="L35" i="3"/>
  <c r="K35" i="3"/>
  <c r="J35" i="3"/>
  <c r="I35" i="3"/>
  <c r="H35" i="3"/>
  <c r="G35" i="3"/>
  <c r="L34" i="3"/>
  <c r="K34" i="3"/>
  <c r="J34" i="3"/>
  <c r="I34" i="3"/>
  <c r="H34" i="3"/>
  <c r="G34" i="3"/>
  <c r="L33" i="3"/>
  <c r="K33" i="3"/>
  <c r="J33" i="3"/>
  <c r="I33" i="3"/>
  <c r="H33" i="3"/>
  <c r="G33" i="3"/>
  <c r="L32" i="3"/>
  <c r="K32" i="3"/>
  <c r="J32" i="3"/>
  <c r="I32" i="3"/>
  <c r="H32" i="3"/>
  <c r="G32" i="3"/>
  <c r="L31" i="3"/>
  <c r="K31" i="3"/>
  <c r="J31" i="3"/>
  <c r="I31" i="3"/>
  <c r="H31" i="3"/>
  <c r="G31" i="3"/>
  <c r="L30" i="3"/>
  <c r="K30" i="3"/>
  <c r="J30" i="3"/>
  <c r="I30" i="3"/>
  <c r="H30" i="3"/>
  <c r="G30" i="3"/>
  <c r="L29" i="3"/>
  <c r="K29" i="3"/>
  <c r="J29" i="3"/>
  <c r="I29" i="3"/>
  <c r="H29" i="3"/>
  <c r="G29" i="3"/>
  <c r="L28" i="3"/>
  <c r="K28" i="3"/>
  <c r="J28" i="3"/>
  <c r="I28" i="3"/>
  <c r="H28" i="3"/>
  <c r="G28" i="3"/>
  <c r="L27" i="3"/>
  <c r="K27" i="3"/>
  <c r="J27" i="3"/>
  <c r="I27" i="3"/>
  <c r="H27" i="3"/>
  <c r="G27" i="3"/>
  <c r="L26" i="3"/>
  <c r="K26" i="3"/>
  <c r="J26" i="3"/>
  <c r="I26" i="3"/>
  <c r="H26" i="3"/>
  <c r="G26" i="3"/>
  <c r="L25" i="3"/>
  <c r="K25" i="3"/>
  <c r="J25" i="3"/>
  <c r="I25" i="3"/>
  <c r="H25" i="3"/>
  <c r="G25" i="3"/>
  <c r="L24" i="3"/>
  <c r="K24" i="3"/>
  <c r="J24" i="3"/>
  <c r="I24" i="3"/>
  <c r="H24" i="3"/>
  <c r="G24" i="3"/>
  <c r="L23" i="3"/>
  <c r="K23" i="3"/>
  <c r="J23" i="3"/>
  <c r="I23" i="3"/>
  <c r="H23" i="3"/>
  <c r="G23" i="3"/>
  <c r="L22" i="3"/>
  <c r="K22" i="3"/>
  <c r="J22" i="3"/>
  <c r="I22" i="3"/>
  <c r="H22" i="3"/>
  <c r="G22" i="3"/>
  <c r="L21" i="3"/>
  <c r="K21" i="3"/>
  <c r="J21" i="3"/>
  <c r="I21" i="3"/>
  <c r="H21" i="3"/>
  <c r="G21" i="3"/>
  <c r="L20" i="3"/>
  <c r="K20" i="3"/>
  <c r="J20" i="3"/>
  <c r="I20" i="3"/>
  <c r="H20" i="3"/>
  <c r="G20" i="3"/>
  <c r="L19" i="3"/>
  <c r="K19" i="3"/>
  <c r="J19" i="3"/>
  <c r="I19" i="3"/>
  <c r="H19" i="3"/>
  <c r="G19" i="3"/>
  <c r="L18" i="3"/>
  <c r="K18" i="3"/>
  <c r="J18" i="3"/>
  <c r="I18" i="3"/>
  <c r="H18" i="3"/>
  <c r="G18" i="3"/>
  <c r="L17" i="3"/>
  <c r="K17" i="3"/>
  <c r="J17" i="3"/>
  <c r="I17" i="3"/>
  <c r="H17" i="3"/>
  <c r="G17" i="3"/>
  <c r="L16" i="3"/>
  <c r="K16" i="3"/>
  <c r="J16" i="3"/>
  <c r="I16" i="3"/>
  <c r="H16" i="3"/>
  <c r="G16" i="3"/>
  <c r="L15" i="3"/>
  <c r="K15" i="3"/>
  <c r="J15" i="3"/>
  <c r="I15" i="3"/>
  <c r="H15" i="3"/>
  <c r="G15" i="3"/>
  <c r="L14" i="3"/>
  <c r="K14" i="3"/>
  <c r="J14" i="3"/>
  <c r="I14" i="3"/>
  <c r="H14" i="3"/>
  <c r="G14" i="3"/>
  <c r="L13" i="3"/>
  <c r="K13" i="3"/>
  <c r="J13" i="3"/>
  <c r="I13" i="3"/>
  <c r="H13" i="3"/>
  <c r="G13" i="3"/>
  <c r="L12" i="3"/>
  <c r="K12" i="3"/>
  <c r="J12" i="3"/>
  <c r="I12" i="3"/>
  <c r="H12" i="3"/>
  <c r="G12" i="3"/>
  <c r="L11" i="3"/>
  <c r="K11" i="3"/>
  <c r="J11" i="3"/>
  <c r="I11" i="3"/>
  <c r="H11" i="3"/>
  <c r="G11" i="3"/>
  <c r="L10" i="3"/>
  <c r="K10" i="3"/>
  <c r="J10" i="3"/>
  <c r="I10" i="3"/>
  <c r="H10" i="3"/>
  <c r="G10" i="3"/>
  <c r="L9" i="3"/>
  <c r="K9" i="3"/>
  <c r="J9" i="3"/>
  <c r="I9" i="3"/>
  <c r="H9" i="3"/>
  <c r="G9" i="3"/>
  <c r="L8" i="3"/>
  <c r="K8" i="3"/>
  <c r="J8" i="3"/>
  <c r="I8" i="3"/>
  <c r="H8" i="3"/>
  <c r="G8" i="3"/>
  <c r="L7" i="3"/>
  <c r="K7" i="3"/>
  <c r="J7" i="3"/>
  <c r="I7" i="3"/>
  <c r="H7" i="3"/>
  <c r="G7" i="3"/>
  <c r="L6" i="3"/>
  <c r="K6" i="3"/>
  <c r="J6" i="3"/>
  <c r="I6" i="3"/>
  <c r="H6" i="3"/>
  <c r="G6" i="3"/>
  <c r="G90" i="3" s="1"/>
  <c r="P2" i="3" s="1"/>
  <c r="L5" i="3"/>
  <c r="K5" i="3"/>
  <c r="J5" i="3"/>
  <c r="I5" i="3"/>
  <c r="H5" i="3"/>
  <c r="G5" i="3"/>
  <c r="L4" i="3"/>
  <c r="L90" i="3" s="1"/>
  <c r="K4" i="3"/>
  <c r="K90" i="3" s="1"/>
  <c r="J4" i="3"/>
  <c r="J90" i="3" s="1"/>
  <c r="I4" i="3"/>
  <c r="I90" i="3" s="1"/>
  <c r="H4" i="3"/>
  <c r="H90" i="3" s="1"/>
  <c r="G4" i="3"/>
  <c r="L36" i="2"/>
  <c r="K36" i="2"/>
  <c r="J36" i="2"/>
  <c r="I36" i="2"/>
  <c r="H36" i="2"/>
  <c r="G36" i="2"/>
  <c r="L35" i="2"/>
  <c r="K35" i="2"/>
  <c r="J35" i="2"/>
  <c r="I35" i="2"/>
  <c r="H35" i="2"/>
  <c r="G35" i="2"/>
  <c r="L34" i="2"/>
  <c r="K34" i="2"/>
  <c r="J34" i="2"/>
  <c r="I34" i="2"/>
  <c r="H34" i="2"/>
  <c r="G34" i="2"/>
  <c r="L33" i="2"/>
  <c r="K33" i="2"/>
  <c r="J33" i="2"/>
  <c r="I33" i="2"/>
  <c r="H33" i="2"/>
  <c r="G33" i="2"/>
  <c r="L32" i="2"/>
  <c r="K32" i="2"/>
  <c r="J32" i="2"/>
  <c r="I32" i="2"/>
  <c r="H32" i="2"/>
  <c r="G32" i="2"/>
  <c r="L31" i="2"/>
  <c r="K31" i="2"/>
  <c r="J31" i="2"/>
  <c r="I31" i="2"/>
  <c r="H31" i="2"/>
  <c r="G31" i="2"/>
  <c r="L30" i="2"/>
  <c r="K30" i="2"/>
  <c r="J30" i="2"/>
  <c r="I30" i="2"/>
  <c r="H30" i="2"/>
  <c r="G30" i="2"/>
  <c r="L29" i="2"/>
  <c r="K29" i="2"/>
  <c r="J29" i="2"/>
  <c r="I29" i="2"/>
  <c r="H29" i="2"/>
  <c r="G29" i="2"/>
  <c r="L28" i="2"/>
  <c r="K28" i="2"/>
  <c r="J28" i="2"/>
  <c r="I28" i="2"/>
  <c r="H28" i="2"/>
  <c r="G28" i="2"/>
  <c r="L27" i="2"/>
  <c r="K27" i="2"/>
  <c r="J27" i="2"/>
  <c r="I27" i="2"/>
  <c r="H27" i="2"/>
  <c r="G27" i="2"/>
  <c r="L26" i="2"/>
  <c r="K26" i="2"/>
  <c r="J26" i="2"/>
  <c r="I26" i="2"/>
  <c r="H26" i="2"/>
  <c r="G26" i="2"/>
  <c r="L25" i="2"/>
  <c r="K25" i="2"/>
  <c r="J25" i="2"/>
  <c r="I25" i="2"/>
  <c r="H25" i="2"/>
  <c r="G25" i="2"/>
  <c r="L24" i="2"/>
  <c r="K24" i="2"/>
  <c r="J24" i="2"/>
  <c r="I24" i="2"/>
  <c r="H24" i="2"/>
  <c r="G24" i="2"/>
  <c r="L23" i="2"/>
  <c r="K23" i="2"/>
  <c r="J23" i="2"/>
  <c r="I23" i="2"/>
  <c r="H23" i="2"/>
  <c r="G23" i="2"/>
  <c r="L22" i="2"/>
  <c r="K22" i="2"/>
  <c r="J22" i="2"/>
  <c r="I22" i="2"/>
  <c r="H22" i="2"/>
  <c r="G22" i="2"/>
  <c r="L21" i="2"/>
  <c r="K21" i="2"/>
  <c r="J21" i="2"/>
  <c r="I21" i="2"/>
  <c r="H21" i="2"/>
  <c r="G21" i="2"/>
  <c r="L20" i="2"/>
  <c r="K20" i="2"/>
  <c r="J20" i="2"/>
  <c r="I20" i="2"/>
  <c r="H20" i="2"/>
  <c r="G20" i="2"/>
  <c r="L19" i="2"/>
  <c r="K19" i="2"/>
  <c r="J19" i="2"/>
  <c r="I19" i="2"/>
  <c r="H19" i="2"/>
  <c r="G19" i="2"/>
  <c r="L18" i="2"/>
  <c r="K18" i="2"/>
  <c r="J18" i="2"/>
  <c r="I18" i="2"/>
  <c r="H18" i="2"/>
  <c r="G18" i="2"/>
  <c r="L17" i="2"/>
  <c r="K17" i="2"/>
  <c r="J17" i="2"/>
  <c r="I17" i="2"/>
  <c r="H17" i="2"/>
  <c r="G17" i="2"/>
  <c r="L16" i="2"/>
  <c r="K16" i="2"/>
  <c r="J16" i="2"/>
  <c r="I16" i="2"/>
  <c r="H16" i="2"/>
  <c r="G16" i="2"/>
  <c r="L15" i="2"/>
  <c r="K15" i="2"/>
  <c r="J15" i="2"/>
  <c r="I15" i="2"/>
  <c r="H15" i="2"/>
  <c r="G15" i="2"/>
  <c r="L14" i="2"/>
  <c r="K14" i="2"/>
  <c r="J14" i="2"/>
  <c r="I14" i="2"/>
  <c r="H14" i="2"/>
  <c r="G14" i="2"/>
  <c r="L13" i="2"/>
  <c r="K13" i="2"/>
  <c r="J13" i="2"/>
  <c r="I13" i="2"/>
  <c r="H13" i="2"/>
  <c r="G13" i="2"/>
  <c r="L12" i="2"/>
  <c r="K12" i="2"/>
  <c r="J12" i="2"/>
  <c r="I12" i="2"/>
  <c r="H12" i="2"/>
  <c r="G12" i="2"/>
  <c r="L11" i="2"/>
  <c r="K11" i="2"/>
  <c r="J11" i="2"/>
  <c r="I11" i="2"/>
  <c r="H11" i="2"/>
  <c r="G11" i="2"/>
  <c r="L10" i="2"/>
  <c r="K10" i="2"/>
  <c r="J10" i="2"/>
  <c r="I10" i="2"/>
  <c r="H10" i="2"/>
  <c r="G10" i="2"/>
  <c r="L9" i="2"/>
  <c r="K9" i="2"/>
  <c r="J9" i="2"/>
  <c r="I9" i="2"/>
  <c r="H9" i="2"/>
  <c r="G9" i="2"/>
  <c r="L8" i="2"/>
  <c r="K8" i="2"/>
  <c r="J8" i="2"/>
  <c r="I8" i="2"/>
  <c r="H8" i="2"/>
  <c r="G8" i="2"/>
  <c r="L7" i="2"/>
  <c r="K7" i="2"/>
  <c r="J7" i="2"/>
  <c r="I7" i="2"/>
  <c r="H7" i="2"/>
  <c r="G7" i="2"/>
  <c r="L6" i="2"/>
  <c r="K6" i="2"/>
  <c r="J6" i="2"/>
  <c r="I6" i="2"/>
  <c r="H6" i="2"/>
  <c r="G6" i="2"/>
  <c r="L5" i="2"/>
  <c r="K5" i="2"/>
  <c r="J5" i="2"/>
  <c r="J38" i="2" s="1"/>
  <c r="I5" i="2"/>
  <c r="H5" i="2"/>
  <c r="H38" i="2" s="1"/>
  <c r="G5" i="2"/>
  <c r="L4" i="2"/>
  <c r="L38" i="2" s="1"/>
  <c r="K4" i="2"/>
  <c r="K38" i="2" s="1"/>
  <c r="J4" i="2"/>
  <c r="I4" i="2"/>
  <c r="I38" i="2" s="1"/>
  <c r="H4" i="2"/>
  <c r="G4" i="2"/>
  <c r="G38" i="2" s="1"/>
  <c r="P2" i="2" s="1"/>
  <c r="L68" i="1"/>
  <c r="K68" i="1"/>
  <c r="J68" i="1"/>
  <c r="I68" i="1"/>
  <c r="H68" i="1"/>
  <c r="G68" i="1"/>
  <c r="L67" i="1"/>
  <c r="K67" i="1"/>
  <c r="J67" i="1"/>
  <c r="I67" i="1"/>
  <c r="H67" i="1"/>
  <c r="G67" i="1"/>
  <c r="L66" i="1"/>
  <c r="K66" i="1"/>
  <c r="J66" i="1"/>
  <c r="I66" i="1"/>
  <c r="H66" i="1"/>
  <c r="G66" i="1"/>
  <c r="L65" i="1"/>
  <c r="K65" i="1"/>
  <c r="J65" i="1"/>
  <c r="I65" i="1"/>
  <c r="H65" i="1"/>
  <c r="G65" i="1"/>
  <c r="L64" i="1"/>
  <c r="K64" i="1"/>
  <c r="J64" i="1"/>
  <c r="I64" i="1"/>
  <c r="H64" i="1"/>
  <c r="G64" i="1"/>
  <c r="L63" i="1"/>
  <c r="K63" i="1"/>
  <c r="J63" i="1"/>
  <c r="I63" i="1"/>
  <c r="H63" i="1"/>
  <c r="G63" i="1"/>
  <c r="L62" i="1"/>
  <c r="K62" i="1"/>
  <c r="J62" i="1"/>
  <c r="I62" i="1"/>
  <c r="H62" i="1"/>
  <c r="G62" i="1"/>
  <c r="L61" i="1"/>
  <c r="K61" i="1"/>
  <c r="J61" i="1"/>
  <c r="I61" i="1"/>
  <c r="H61" i="1"/>
  <c r="G61" i="1"/>
  <c r="L60" i="1"/>
  <c r="K60" i="1"/>
  <c r="J60" i="1"/>
  <c r="I60" i="1"/>
  <c r="H60" i="1"/>
  <c r="G60" i="1"/>
  <c r="L59" i="1"/>
  <c r="K59" i="1"/>
  <c r="J59" i="1"/>
  <c r="I59" i="1"/>
  <c r="H59" i="1"/>
  <c r="G59" i="1"/>
  <c r="L58" i="1"/>
  <c r="K58" i="1"/>
  <c r="J58" i="1"/>
  <c r="I58" i="1"/>
  <c r="H58" i="1"/>
  <c r="G58" i="1"/>
  <c r="L57" i="1"/>
  <c r="K57" i="1"/>
  <c r="J57" i="1"/>
  <c r="I57" i="1"/>
  <c r="H57" i="1"/>
  <c r="G57" i="1"/>
  <c r="L56" i="1"/>
  <c r="K56" i="1"/>
  <c r="J56" i="1"/>
  <c r="I56" i="1"/>
  <c r="H56" i="1"/>
  <c r="G56" i="1"/>
  <c r="L55" i="1"/>
  <c r="K55" i="1"/>
  <c r="J55" i="1"/>
  <c r="I55" i="1"/>
  <c r="H55" i="1"/>
  <c r="G55" i="1"/>
  <c r="L54" i="1"/>
  <c r="K54" i="1"/>
  <c r="J54" i="1"/>
  <c r="I54" i="1"/>
  <c r="H54" i="1"/>
  <c r="G54" i="1"/>
  <c r="L53" i="1"/>
  <c r="K53" i="1"/>
  <c r="J53" i="1"/>
  <c r="I53" i="1"/>
  <c r="H53" i="1"/>
  <c r="G53" i="1"/>
  <c r="L52" i="1"/>
  <c r="K52" i="1"/>
  <c r="J52" i="1"/>
  <c r="I52" i="1"/>
  <c r="H52" i="1"/>
  <c r="G52" i="1"/>
  <c r="L51" i="1"/>
  <c r="K51" i="1"/>
  <c r="J51" i="1"/>
  <c r="I51" i="1"/>
  <c r="H51" i="1"/>
  <c r="G51" i="1"/>
  <c r="L50" i="1"/>
  <c r="K50" i="1"/>
  <c r="J50" i="1"/>
  <c r="I50" i="1"/>
  <c r="H50" i="1"/>
  <c r="G50" i="1"/>
  <c r="L49" i="1"/>
  <c r="K49" i="1"/>
  <c r="J49" i="1"/>
  <c r="I49" i="1"/>
  <c r="H49" i="1"/>
  <c r="G49" i="1"/>
  <c r="L48" i="1"/>
  <c r="K48" i="1"/>
  <c r="J48" i="1"/>
  <c r="I48" i="1"/>
  <c r="H48" i="1"/>
  <c r="G48" i="1"/>
  <c r="L47" i="1"/>
  <c r="K47" i="1"/>
  <c r="J47" i="1"/>
  <c r="I47" i="1"/>
  <c r="H47" i="1"/>
  <c r="G47" i="1"/>
  <c r="L46" i="1"/>
  <c r="K46" i="1"/>
  <c r="J46" i="1"/>
  <c r="I46" i="1"/>
  <c r="H46" i="1"/>
  <c r="G46" i="1"/>
  <c r="L45" i="1"/>
  <c r="K45" i="1"/>
  <c r="J45" i="1"/>
  <c r="I45" i="1"/>
  <c r="H45" i="1"/>
  <c r="G45" i="1"/>
  <c r="L44" i="1"/>
  <c r="K44" i="1"/>
  <c r="J44" i="1"/>
  <c r="I44" i="1"/>
  <c r="H44" i="1"/>
  <c r="G44" i="1"/>
  <c r="L43" i="1"/>
  <c r="K43" i="1"/>
  <c r="J43" i="1"/>
  <c r="I43" i="1"/>
  <c r="H43" i="1"/>
  <c r="G43" i="1"/>
  <c r="L42" i="1"/>
  <c r="K42" i="1"/>
  <c r="J42" i="1"/>
  <c r="I42" i="1"/>
  <c r="H42" i="1"/>
  <c r="G42" i="1"/>
  <c r="L41" i="1"/>
  <c r="K41" i="1"/>
  <c r="J41" i="1"/>
  <c r="I41" i="1"/>
  <c r="H41" i="1"/>
  <c r="G41" i="1"/>
  <c r="L40" i="1"/>
  <c r="K40" i="1"/>
  <c r="J40" i="1"/>
  <c r="I40" i="1"/>
  <c r="H40" i="1"/>
  <c r="G40" i="1"/>
  <c r="L39" i="1"/>
  <c r="K39" i="1"/>
  <c r="J39" i="1"/>
  <c r="I39" i="1"/>
  <c r="H39" i="1"/>
  <c r="G39" i="1"/>
  <c r="L38" i="1"/>
  <c r="K38" i="1"/>
  <c r="J38" i="1"/>
  <c r="I38" i="1"/>
  <c r="H38" i="1"/>
  <c r="G38" i="1"/>
  <c r="L37" i="1"/>
  <c r="K37" i="1"/>
  <c r="J37" i="1"/>
  <c r="I37" i="1"/>
  <c r="H37" i="1"/>
  <c r="G37" i="1"/>
  <c r="L36" i="1"/>
  <c r="K36" i="1"/>
  <c r="J36" i="1"/>
  <c r="I36" i="1"/>
  <c r="H36" i="1"/>
  <c r="G36" i="1"/>
  <c r="L35" i="1"/>
  <c r="K35" i="1"/>
  <c r="J35" i="1"/>
  <c r="I35" i="1"/>
  <c r="H35" i="1"/>
  <c r="G35" i="1"/>
  <c r="L34" i="1"/>
  <c r="K34" i="1"/>
  <c r="J34" i="1"/>
  <c r="I34" i="1"/>
  <c r="H34" i="1"/>
  <c r="G34" i="1"/>
  <c r="L33" i="1"/>
  <c r="K33" i="1"/>
  <c r="J33" i="1"/>
  <c r="I33" i="1"/>
  <c r="H33" i="1"/>
  <c r="G33" i="1"/>
  <c r="L32" i="1"/>
  <c r="K32" i="1"/>
  <c r="J32" i="1"/>
  <c r="I32" i="1"/>
  <c r="H32" i="1"/>
  <c r="G32" i="1"/>
  <c r="L31" i="1"/>
  <c r="K31" i="1"/>
  <c r="J31" i="1"/>
  <c r="I31" i="1"/>
  <c r="H31" i="1"/>
  <c r="G31" i="1"/>
  <c r="L30" i="1"/>
  <c r="K30" i="1"/>
  <c r="J30" i="1"/>
  <c r="I30" i="1"/>
  <c r="H30" i="1"/>
  <c r="G30" i="1"/>
  <c r="L29" i="1"/>
  <c r="K29" i="1"/>
  <c r="J29" i="1"/>
  <c r="I29" i="1"/>
  <c r="H29" i="1"/>
  <c r="G29" i="1"/>
  <c r="L28" i="1"/>
  <c r="K28" i="1"/>
  <c r="J28" i="1"/>
  <c r="I28" i="1"/>
  <c r="H28" i="1"/>
  <c r="G28" i="1"/>
  <c r="L27" i="1"/>
  <c r="K27" i="1"/>
  <c r="J27" i="1"/>
  <c r="I27" i="1"/>
  <c r="H27" i="1"/>
  <c r="G27" i="1"/>
  <c r="L26" i="1"/>
  <c r="K26" i="1"/>
  <c r="J26" i="1"/>
  <c r="I26" i="1"/>
  <c r="H26" i="1"/>
  <c r="G26" i="1"/>
  <c r="L25" i="1"/>
  <c r="K25" i="1"/>
  <c r="J25" i="1"/>
  <c r="I25" i="1"/>
  <c r="H25" i="1"/>
  <c r="G25" i="1"/>
  <c r="L24" i="1"/>
  <c r="K24" i="1"/>
  <c r="J24" i="1"/>
  <c r="I24" i="1"/>
  <c r="H24" i="1"/>
  <c r="G24" i="1"/>
  <c r="L23" i="1"/>
  <c r="K23" i="1"/>
  <c r="J23" i="1"/>
  <c r="I23" i="1"/>
  <c r="H23" i="1"/>
  <c r="G23" i="1"/>
  <c r="L22" i="1"/>
  <c r="K22" i="1"/>
  <c r="J22" i="1"/>
  <c r="I22" i="1"/>
  <c r="H22" i="1"/>
  <c r="G22" i="1"/>
  <c r="L21" i="1"/>
  <c r="K21" i="1"/>
  <c r="J21" i="1"/>
  <c r="I21" i="1"/>
  <c r="H21" i="1"/>
  <c r="G21" i="1"/>
  <c r="L20" i="1"/>
  <c r="K20" i="1"/>
  <c r="J20" i="1"/>
  <c r="I20" i="1"/>
  <c r="H20" i="1"/>
  <c r="G20" i="1"/>
  <c r="L19" i="1"/>
  <c r="K19" i="1"/>
  <c r="J19" i="1"/>
  <c r="I19" i="1"/>
  <c r="H19" i="1"/>
  <c r="G19" i="1"/>
  <c r="L18" i="1"/>
  <c r="K18" i="1"/>
  <c r="J18" i="1"/>
  <c r="I18" i="1"/>
  <c r="H18" i="1"/>
  <c r="G18" i="1"/>
  <c r="L17" i="1"/>
  <c r="K17" i="1"/>
  <c r="J17" i="1"/>
  <c r="I17" i="1"/>
  <c r="H17" i="1"/>
  <c r="G17" i="1"/>
  <c r="L16" i="1"/>
  <c r="K16" i="1"/>
  <c r="J16" i="1"/>
  <c r="I16" i="1"/>
  <c r="H16" i="1"/>
  <c r="G16" i="1"/>
  <c r="L15" i="1"/>
  <c r="K15" i="1"/>
  <c r="J15" i="1"/>
  <c r="I15" i="1"/>
  <c r="H15" i="1"/>
  <c r="G15" i="1"/>
  <c r="L14" i="1"/>
  <c r="K14" i="1"/>
  <c r="J14" i="1"/>
  <c r="I14" i="1"/>
  <c r="H14" i="1"/>
  <c r="G14" i="1"/>
  <c r="L13" i="1"/>
  <c r="K13" i="1"/>
  <c r="J13" i="1"/>
  <c r="I13" i="1"/>
  <c r="H13" i="1"/>
  <c r="G13" i="1"/>
  <c r="L12" i="1"/>
  <c r="K12" i="1"/>
  <c r="J12" i="1"/>
  <c r="I12" i="1"/>
  <c r="H12" i="1"/>
  <c r="G12" i="1"/>
  <c r="L11" i="1"/>
  <c r="K11" i="1"/>
  <c r="J11" i="1"/>
  <c r="I11" i="1"/>
  <c r="H11" i="1"/>
  <c r="G11" i="1"/>
  <c r="L10" i="1"/>
  <c r="K10" i="1"/>
  <c r="J10" i="1"/>
  <c r="I10" i="1"/>
  <c r="H10" i="1"/>
  <c r="G10" i="1"/>
  <c r="L9" i="1"/>
  <c r="K9" i="1"/>
  <c r="J9" i="1"/>
  <c r="I9" i="1"/>
  <c r="H9" i="1"/>
  <c r="G9" i="1"/>
  <c r="L8" i="1"/>
  <c r="K8" i="1"/>
  <c r="J8" i="1"/>
  <c r="I8" i="1"/>
  <c r="H8" i="1"/>
  <c r="G8" i="1"/>
  <c r="L7" i="1"/>
  <c r="K7" i="1"/>
  <c r="J7" i="1"/>
  <c r="I7" i="1"/>
  <c r="H7" i="1"/>
  <c r="G7" i="1"/>
  <c r="L6" i="1"/>
  <c r="K6" i="1"/>
  <c r="J6" i="1"/>
  <c r="I6" i="1"/>
  <c r="H6" i="1"/>
  <c r="G6" i="1"/>
  <c r="L5" i="1"/>
  <c r="K5" i="1"/>
  <c r="J5" i="1"/>
  <c r="I5" i="1"/>
  <c r="H5" i="1"/>
  <c r="G5" i="1"/>
  <c r="G71" i="1" s="1"/>
  <c r="P2" i="1" s="1"/>
  <c r="L4" i="1"/>
  <c r="L71" i="1" s="1"/>
  <c r="K4" i="1"/>
  <c r="K71" i="1" s="1"/>
  <c r="J4" i="1"/>
  <c r="J71" i="1" s="1"/>
  <c r="I4" i="1"/>
  <c r="I71" i="1" s="1"/>
  <c r="H4" i="1"/>
  <c r="H71" i="1" s="1"/>
  <c r="G4" i="1"/>
</calcChain>
</file>

<file path=xl/sharedStrings.xml><?xml version="1.0" encoding="utf-8"?>
<sst xmlns="http://schemas.openxmlformats.org/spreadsheetml/2006/main" count="929" uniqueCount="563">
  <si>
    <t>Water Supply Data</t>
  </si>
  <si>
    <t>Month of February - 2026</t>
  </si>
  <si>
    <t>C</t>
  </si>
  <si>
    <t>S/No</t>
  </si>
  <si>
    <t>Client ID</t>
  </si>
  <si>
    <t>Client Name</t>
  </si>
  <si>
    <t>Delivery Date</t>
  </si>
  <si>
    <t>Area</t>
  </si>
  <si>
    <t>Total Bottles Delivered</t>
  </si>
  <si>
    <t>Total Empty Bottles Recvd</t>
  </si>
  <si>
    <t>Balacne Bottles</t>
  </si>
  <si>
    <t>Total Amount</t>
  </si>
  <si>
    <t>Amount Recvd</t>
  </si>
  <si>
    <t>Balance</t>
  </si>
  <si>
    <t>Contact no</t>
  </si>
  <si>
    <t>Remarks</t>
  </si>
  <si>
    <t>C1</t>
  </si>
  <si>
    <t>Shakil Bhai Jaan</t>
  </si>
  <si>
    <t>Mon,Thu</t>
  </si>
  <si>
    <t>Chishti Nagar</t>
  </si>
  <si>
    <t>0321-2503283</t>
  </si>
  <si>
    <t>C2</t>
  </si>
  <si>
    <t>Shakil Bhai Hina</t>
  </si>
  <si>
    <t>0318-0124088</t>
  </si>
  <si>
    <t>C3</t>
  </si>
  <si>
    <t>Anmol Kali</t>
  </si>
  <si>
    <t>0310-4430600</t>
  </si>
  <si>
    <t>C4</t>
  </si>
  <si>
    <t>Jameel</t>
  </si>
  <si>
    <t>Mon,Thu,Sat</t>
  </si>
  <si>
    <t>C5</t>
  </si>
  <si>
    <t>Veradh</t>
  </si>
  <si>
    <t>Mon,Wed,Thu,Sat</t>
  </si>
  <si>
    <t>C6</t>
  </si>
  <si>
    <t>Shahzaib Qadir</t>
  </si>
  <si>
    <t>0313-2958559</t>
  </si>
  <si>
    <t>C7</t>
  </si>
  <si>
    <t>Zahid Bhai</t>
  </si>
  <si>
    <t>0312-3875824</t>
  </si>
  <si>
    <t>C8</t>
  </si>
  <si>
    <t>Shahid</t>
  </si>
  <si>
    <t>0312-8543908</t>
  </si>
  <si>
    <t>C9</t>
  </si>
  <si>
    <t>Safdar</t>
  </si>
  <si>
    <t>Sun,Wed</t>
  </si>
  <si>
    <t>Mansoor Nagar</t>
  </si>
  <si>
    <t>0349-0560079</t>
  </si>
  <si>
    <t>0340-2195576</t>
  </si>
  <si>
    <t>C10</t>
  </si>
  <si>
    <t>Hamid Bhai</t>
  </si>
  <si>
    <t>Dubble Road</t>
  </si>
  <si>
    <t>0322-2224664</t>
  </si>
  <si>
    <t>C11</t>
  </si>
  <si>
    <t>Moiz</t>
  </si>
  <si>
    <t>0312-2282169</t>
  </si>
  <si>
    <t>C12</t>
  </si>
  <si>
    <t>Moon</t>
  </si>
  <si>
    <t>0318-2411711</t>
  </si>
  <si>
    <t>C13</t>
  </si>
  <si>
    <t>Arsalan</t>
  </si>
  <si>
    <t>0334-3492388</t>
  </si>
  <si>
    <t>C14</t>
  </si>
  <si>
    <t>Rahat Mamo</t>
  </si>
  <si>
    <t>0301-5873343</t>
  </si>
  <si>
    <t>C15</t>
  </si>
  <si>
    <t>Zain Dubble Road</t>
  </si>
  <si>
    <t>0311-2836528</t>
  </si>
  <si>
    <t>C16</t>
  </si>
  <si>
    <t>Barira Shahid</t>
  </si>
  <si>
    <t>C17</t>
  </si>
  <si>
    <t>Ammar Siddique</t>
  </si>
  <si>
    <t>Sat,Tue</t>
  </si>
  <si>
    <t>0310-2372018</t>
  </si>
  <si>
    <t>C18</t>
  </si>
  <si>
    <t>Rizwan Chishti  Nagar</t>
  </si>
  <si>
    <t>0331-2278339</t>
  </si>
  <si>
    <t>C19</t>
  </si>
  <si>
    <t>Imran Bhai Shahid</t>
  </si>
  <si>
    <t>0302-2004480</t>
  </si>
  <si>
    <t>C20</t>
  </si>
  <si>
    <t>Nazish</t>
  </si>
  <si>
    <t>0300-9259652</t>
  </si>
  <si>
    <t>C21</t>
  </si>
  <si>
    <t>Arfay</t>
  </si>
  <si>
    <t>0341-1237963</t>
  </si>
  <si>
    <t>C22</t>
  </si>
  <si>
    <t>Nadir Khan</t>
  </si>
  <si>
    <t>0304-7091985</t>
  </si>
  <si>
    <t>1000 Deposit</t>
  </si>
  <si>
    <t>C23</t>
  </si>
  <si>
    <t>Danish Solar</t>
  </si>
  <si>
    <t>0312-2867640</t>
  </si>
  <si>
    <t>C24</t>
  </si>
  <si>
    <t>Abdullah</t>
  </si>
  <si>
    <t>0313-2427307</t>
  </si>
  <si>
    <t>C25</t>
  </si>
  <si>
    <t>Imran Siddique</t>
  </si>
  <si>
    <t>Sat</t>
  </si>
  <si>
    <t>0333-9245552</t>
  </si>
  <si>
    <t>C26</t>
  </si>
  <si>
    <t>Al Harmain School</t>
  </si>
  <si>
    <t>0323-0217494</t>
  </si>
  <si>
    <t>C27</t>
  </si>
  <si>
    <t>Tariq Naseem</t>
  </si>
  <si>
    <t>0311-2134116</t>
  </si>
  <si>
    <t>C28</t>
  </si>
  <si>
    <t>Ghulam Safdar</t>
  </si>
  <si>
    <t>0315-2911056</t>
  </si>
  <si>
    <t>C29</t>
  </si>
  <si>
    <t>Abdullah Pappu</t>
  </si>
  <si>
    <t>C30</t>
  </si>
  <si>
    <t>Qurban Bhai</t>
  </si>
  <si>
    <t>C31</t>
  </si>
  <si>
    <t>Shahid Jawed</t>
  </si>
  <si>
    <t>0316-2671305</t>
  </si>
  <si>
    <t>C32</t>
  </si>
  <si>
    <t>Farhan Pappu</t>
  </si>
  <si>
    <t>0341-3147923</t>
  </si>
  <si>
    <t>C33</t>
  </si>
  <si>
    <t>Malik Asad</t>
  </si>
  <si>
    <t>0333-3651512</t>
  </si>
  <si>
    <t>C34</t>
  </si>
  <si>
    <t>Munna(Moon)</t>
  </si>
  <si>
    <t>0315-1045691</t>
  </si>
  <si>
    <t>C35</t>
  </si>
  <si>
    <t>Irfan Bhai</t>
  </si>
  <si>
    <t>0333-2339703</t>
  </si>
  <si>
    <t>C36</t>
  </si>
  <si>
    <t>Shahnawaz</t>
  </si>
  <si>
    <t>0332-3163346</t>
  </si>
  <si>
    <t>C37</t>
  </si>
  <si>
    <t>Hassan</t>
  </si>
  <si>
    <t>0211-1822565</t>
  </si>
  <si>
    <t>C38</t>
  </si>
  <si>
    <t>Raja Asghar</t>
  </si>
  <si>
    <t>0312-2451031</t>
  </si>
  <si>
    <t>C39</t>
  </si>
  <si>
    <t>Irshad</t>
  </si>
  <si>
    <t>0321-3911563</t>
  </si>
  <si>
    <t>C40</t>
  </si>
  <si>
    <t>Jawed Faizy</t>
  </si>
  <si>
    <t>0345-3112365</t>
  </si>
  <si>
    <t>C41</t>
  </si>
  <si>
    <t>Saim</t>
  </si>
  <si>
    <t>0300-2019494</t>
  </si>
  <si>
    <t>C42</t>
  </si>
  <si>
    <t>Amjad</t>
  </si>
  <si>
    <t>0323-2313008</t>
  </si>
  <si>
    <t>C43</t>
  </si>
  <si>
    <t>Saifuddin</t>
  </si>
  <si>
    <t>0312-1032719</t>
  </si>
  <si>
    <t>C44</t>
  </si>
  <si>
    <t>Danial Alam</t>
  </si>
  <si>
    <t>C45</t>
  </si>
  <si>
    <t>Qaiser Jamat</t>
  </si>
  <si>
    <t>C46</t>
  </si>
  <si>
    <t>Rashid Ambar</t>
  </si>
  <si>
    <t>03142790222</t>
  </si>
  <si>
    <t>C47</t>
  </si>
  <si>
    <t>Sajid Bhai</t>
  </si>
  <si>
    <t>03333114321</t>
  </si>
  <si>
    <t>C48</t>
  </si>
  <si>
    <t>Naeem</t>
  </si>
  <si>
    <t>C49</t>
  </si>
  <si>
    <t>Usama Alam</t>
  </si>
  <si>
    <t>Lal Masjid</t>
  </si>
  <si>
    <t>0308-2757029</t>
  </si>
  <si>
    <t>C50</t>
  </si>
  <si>
    <t>Manazir</t>
  </si>
  <si>
    <t>0319-1485854</t>
  </si>
  <si>
    <t>C51</t>
  </si>
  <si>
    <t>Naqash</t>
  </si>
  <si>
    <t>C52</t>
  </si>
  <si>
    <t>Israr</t>
  </si>
  <si>
    <t>0312-8494262</t>
  </si>
  <si>
    <t>C53</t>
  </si>
  <si>
    <t>Faraz</t>
  </si>
  <si>
    <t>0340-7833913</t>
  </si>
  <si>
    <t>C54</t>
  </si>
  <si>
    <t xml:space="preserve">Rukhsar </t>
  </si>
  <si>
    <t>Mon</t>
  </si>
  <si>
    <t>0316-2021209</t>
  </si>
  <si>
    <t>C55</t>
  </si>
  <si>
    <t xml:space="preserve">Ayaz </t>
  </si>
  <si>
    <t>C56</t>
  </si>
  <si>
    <t>Owais Naqash</t>
  </si>
  <si>
    <t>C57</t>
  </si>
  <si>
    <t>Ibrahim</t>
  </si>
  <si>
    <t>0333-1203337</t>
  </si>
  <si>
    <t>C58</t>
  </si>
  <si>
    <t>Irfan Anwar</t>
  </si>
  <si>
    <t>0331-2355503</t>
  </si>
  <si>
    <t>C59</t>
  </si>
  <si>
    <t>Azam</t>
  </si>
  <si>
    <t>0314-2378794</t>
  </si>
  <si>
    <t>C60</t>
  </si>
  <si>
    <t>Hassan Tariq</t>
  </si>
  <si>
    <t>C61</t>
  </si>
  <si>
    <t>Taha</t>
  </si>
  <si>
    <t>0321-2940365</t>
  </si>
  <si>
    <t>C62</t>
  </si>
  <si>
    <t>M. Saleem</t>
  </si>
  <si>
    <t>0333-2190640</t>
  </si>
  <si>
    <t>C63</t>
  </si>
  <si>
    <t>Md. Jilani</t>
  </si>
  <si>
    <t>C64</t>
  </si>
  <si>
    <t>Shani</t>
  </si>
  <si>
    <t>C65</t>
  </si>
  <si>
    <t>Masjid</t>
  </si>
  <si>
    <t>Daily</t>
  </si>
  <si>
    <t>Month of February 2026</t>
  </si>
  <si>
    <t>R</t>
  </si>
  <si>
    <t>R1</t>
  </si>
  <si>
    <t>Laraib</t>
  </si>
  <si>
    <t>Raisamrohi</t>
  </si>
  <si>
    <t>0331-0277710</t>
  </si>
  <si>
    <t>R2</t>
  </si>
  <si>
    <t>Sani Raisamrohi</t>
  </si>
  <si>
    <t>0318-2053244</t>
  </si>
  <si>
    <t>R3</t>
  </si>
  <si>
    <t>Faizan Raisamrohi</t>
  </si>
  <si>
    <t>0324-2489438</t>
  </si>
  <si>
    <t>R4</t>
  </si>
  <si>
    <t>Mushtaq Police</t>
  </si>
  <si>
    <t>0312-2598334</t>
  </si>
  <si>
    <t>R5</t>
  </si>
  <si>
    <t>Muzammil</t>
  </si>
  <si>
    <t>0347-2272443</t>
  </si>
  <si>
    <t>R6</t>
  </si>
  <si>
    <t>Shahid bhai Raisamrohi</t>
  </si>
  <si>
    <t>0345-2917682</t>
  </si>
  <si>
    <t>R7</t>
  </si>
  <si>
    <t>Jahangir</t>
  </si>
  <si>
    <t>0322-8286787</t>
  </si>
  <si>
    <t>R8</t>
  </si>
  <si>
    <t>Manzoor Bhai</t>
  </si>
  <si>
    <t>0312-9254808</t>
  </si>
  <si>
    <t>R9</t>
  </si>
  <si>
    <t>Rana Tehsin</t>
  </si>
  <si>
    <t>0325-3690903</t>
  </si>
  <si>
    <t>R10</t>
  </si>
  <si>
    <t>Hamdan</t>
  </si>
  <si>
    <t>0313-3012896</t>
  </si>
  <si>
    <t>R11</t>
  </si>
  <si>
    <t>Sharjeel</t>
  </si>
  <si>
    <t>0349-8497584</t>
  </si>
  <si>
    <t>R12</t>
  </si>
  <si>
    <t>Naveed</t>
  </si>
  <si>
    <t>0322-3662758</t>
  </si>
  <si>
    <t>R13</t>
  </si>
  <si>
    <t>Bilal yousaf</t>
  </si>
  <si>
    <t>0370-8720185</t>
  </si>
  <si>
    <t>R14</t>
  </si>
  <si>
    <t>Rashid Bhai</t>
  </si>
  <si>
    <t>0315-6468617</t>
  </si>
  <si>
    <t>R15</t>
  </si>
  <si>
    <t>Muhammad Athar</t>
  </si>
  <si>
    <t>0341-2899849</t>
  </si>
  <si>
    <t>R16</t>
  </si>
  <si>
    <t>Ehtesham</t>
  </si>
  <si>
    <t>0313-2329669</t>
  </si>
  <si>
    <t>R17</t>
  </si>
  <si>
    <t>Muhammad Yaqoob</t>
  </si>
  <si>
    <t>0318-7723591</t>
  </si>
  <si>
    <t>R18</t>
  </si>
  <si>
    <t>Shahzad</t>
  </si>
  <si>
    <t>0321-2136612</t>
  </si>
  <si>
    <t>R19</t>
  </si>
  <si>
    <t>Shahrukh</t>
  </si>
  <si>
    <t>0341-2380586</t>
  </si>
  <si>
    <t>R20</t>
  </si>
  <si>
    <t>Usman</t>
  </si>
  <si>
    <t>0343-2539516</t>
  </si>
  <si>
    <t>R21</t>
  </si>
  <si>
    <t>Aslam Baloch</t>
  </si>
  <si>
    <t>0333-3184971</t>
  </si>
  <si>
    <t>R22</t>
  </si>
  <si>
    <t>Haji Ismail(Yaseen)</t>
  </si>
  <si>
    <t>0318-0228245</t>
  </si>
  <si>
    <t>R23</t>
  </si>
  <si>
    <t>Rehan</t>
  </si>
  <si>
    <t>0336-2359596</t>
  </si>
  <si>
    <t>R24</t>
  </si>
  <si>
    <t>Asif</t>
  </si>
  <si>
    <t>0313-2590824</t>
  </si>
  <si>
    <t>R25</t>
  </si>
  <si>
    <t>Aftab Bhai</t>
  </si>
  <si>
    <t>0313-1212909</t>
  </si>
  <si>
    <t>R26</t>
  </si>
  <si>
    <t>Zaheer</t>
  </si>
  <si>
    <t>0315-0213617</t>
  </si>
  <si>
    <t>R27</t>
  </si>
  <si>
    <t>Yousaf</t>
  </si>
  <si>
    <t>0319-3418858</t>
  </si>
  <si>
    <t>R28</t>
  </si>
  <si>
    <t>Hamayun</t>
  </si>
  <si>
    <t>0312-0029312</t>
  </si>
  <si>
    <t>R29</t>
  </si>
  <si>
    <t>Inam (Nomi)</t>
  </si>
  <si>
    <t>0313-0302060</t>
  </si>
  <si>
    <t>R30</t>
  </si>
  <si>
    <t>Khursheed</t>
  </si>
  <si>
    <t>0333-1252369</t>
  </si>
  <si>
    <t>R31</t>
  </si>
  <si>
    <t>Wahab</t>
  </si>
  <si>
    <t>R32</t>
  </si>
  <si>
    <t>Hikmatullah</t>
  </si>
  <si>
    <t>R33</t>
  </si>
  <si>
    <t>Jumma Khan</t>
  </si>
  <si>
    <t>0311-2653699</t>
  </si>
  <si>
    <t>D</t>
  </si>
  <si>
    <t>D1</t>
  </si>
  <si>
    <t>Arif Iqbal (Home)</t>
  </si>
  <si>
    <t>Rehmat Chowk</t>
  </si>
  <si>
    <t>0315-2336297</t>
  </si>
  <si>
    <t>D19</t>
  </si>
  <si>
    <t>Shahryar Dabba Mor</t>
  </si>
  <si>
    <t>Dabba Mor</t>
  </si>
  <si>
    <t>0300-2853933</t>
  </si>
  <si>
    <t>D56</t>
  </si>
  <si>
    <t>Abid</t>
  </si>
  <si>
    <t>0315-2420763</t>
  </si>
  <si>
    <t>D4</t>
  </si>
  <si>
    <t>Zeeshan Dabba Mor</t>
  </si>
  <si>
    <t>0312-5311988</t>
  </si>
  <si>
    <t>D5</t>
  </si>
  <si>
    <t>Arif Iqbal (School)</t>
  </si>
  <si>
    <t>D6</t>
  </si>
  <si>
    <t>Kamran Madni Masjid</t>
  </si>
  <si>
    <t>Benazir Colony</t>
  </si>
  <si>
    <t>0331-2487553</t>
  </si>
  <si>
    <t>D7</t>
  </si>
  <si>
    <t>Arsalan Dabba Mor</t>
  </si>
  <si>
    <t>0321-1217574</t>
  </si>
  <si>
    <t>D8</t>
  </si>
  <si>
    <t>0314-2264699</t>
  </si>
  <si>
    <t>0333-3272520</t>
  </si>
  <si>
    <t>D9</t>
  </si>
  <si>
    <t>Shakir</t>
  </si>
  <si>
    <t>0315-2495195</t>
  </si>
  <si>
    <t>D10</t>
  </si>
  <si>
    <t>Tariq Bhai</t>
  </si>
  <si>
    <t>1k</t>
  </si>
  <si>
    <t>0322-8782561</t>
  </si>
  <si>
    <t>D11</t>
  </si>
  <si>
    <t>Faizan Police</t>
  </si>
  <si>
    <t>0345-2248831</t>
  </si>
  <si>
    <t>D12</t>
  </si>
  <si>
    <t>Kamran Bhai T&amp;T</t>
  </si>
  <si>
    <t xml:space="preserve">T&amp;T </t>
  </si>
  <si>
    <t>0321-8950252</t>
  </si>
  <si>
    <t>D62</t>
  </si>
  <si>
    <t>Pappu Dairy</t>
  </si>
  <si>
    <t>0323-2894884</t>
  </si>
  <si>
    <t>D14</t>
  </si>
  <si>
    <t>Zulfiqar Ali</t>
  </si>
  <si>
    <t>Shia Quarter</t>
  </si>
  <si>
    <t>0314-2954505</t>
  </si>
  <si>
    <t>D15</t>
  </si>
  <si>
    <t>Farhan (Quarter)</t>
  </si>
  <si>
    <t>0310-393733</t>
  </si>
  <si>
    <t>D16</t>
  </si>
  <si>
    <t>Shamim Raza</t>
  </si>
  <si>
    <t>D80</t>
  </si>
  <si>
    <t>Imran Oil</t>
  </si>
  <si>
    <t>D18</t>
  </si>
  <si>
    <t>Usama Rehmat chock</t>
  </si>
  <si>
    <t>0311-2980058</t>
  </si>
  <si>
    <t>D71</t>
  </si>
  <si>
    <t>Iftikhar Data Chowk</t>
  </si>
  <si>
    <t>Data Chowk</t>
  </si>
  <si>
    <t>D20</t>
  </si>
  <si>
    <t>Muhammad Yaseen</t>
  </si>
  <si>
    <t>Sun,Tue,Thu</t>
  </si>
  <si>
    <t>0333-2374416</t>
  </si>
  <si>
    <t>D21</t>
  </si>
  <si>
    <t>Shayan</t>
  </si>
  <si>
    <t>D22</t>
  </si>
  <si>
    <t>Faizan Islam chock</t>
  </si>
  <si>
    <t>Islam Chowk</t>
  </si>
  <si>
    <t>0336-3832886</t>
  </si>
  <si>
    <t>D23</t>
  </si>
  <si>
    <t>Razi</t>
  </si>
  <si>
    <t>0313-2322167</t>
  </si>
  <si>
    <t>D24</t>
  </si>
  <si>
    <t>Muhammad Zahid</t>
  </si>
  <si>
    <t>L Block</t>
  </si>
  <si>
    <t>0340-8362466</t>
  </si>
  <si>
    <t>D25</t>
  </si>
  <si>
    <t>Zeeshan Noorani</t>
  </si>
  <si>
    <t>Noorani</t>
  </si>
  <si>
    <t>0347-2011898</t>
  </si>
  <si>
    <t>D81</t>
  </si>
  <si>
    <t>ASM Fassion</t>
  </si>
  <si>
    <t>0310-2200849</t>
  </si>
  <si>
    <t>D13</t>
  </si>
  <si>
    <t>Shakil Bhai</t>
  </si>
  <si>
    <t>Ghaziabad</t>
  </si>
  <si>
    <t>0345-8220398</t>
  </si>
  <si>
    <t>D28</t>
  </si>
  <si>
    <t>M. Saleem (Advo)</t>
  </si>
  <si>
    <t>0315-2275286</t>
  </si>
  <si>
    <t>D29</t>
  </si>
  <si>
    <t>Shumail</t>
  </si>
  <si>
    <t>D30</t>
  </si>
  <si>
    <t>1st Floor</t>
  </si>
  <si>
    <t>0349-3641283</t>
  </si>
  <si>
    <t>D31</t>
  </si>
  <si>
    <t>Haider</t>
  </si>
  <si>
    <t>0370-2405725</t>
  </si>
  <si>
    <t>D26</t>
  </si>
  <si>
    <t>Ata Ur Rehman</t>
  </si>
  <si>
    <t>0313-2071346</t>
  </si>
  <si>
    <t>D33</t>
  </si>
  <si>
    <t>Sohail MCB</t>
  </si>
  <si>
    <t>Safaid Chowk</t>
  </si>
  <si>
    <t>0332-9067384</t>
  </si>
  <si>
    <t>D27</t>
  </si>
  <si>
    <t>Shabbir</t>
  </si>
  <si>
    <t>D37</t>
  </si>
  <si>
    <t>Meraj</t>
  </si>
  <si>
    <t>0318-1154403</t>
  </si>
  <si>
    <t>C/O Sultan</t>
  </si>
  <si>
    <t>D36</t>
  </si>
  <si>
    <t>Siddique</t>
  </si>
  <si>
    <t>0306-0234338</t>
  </si>
  <si>
    <t>D38</t>
  </si>
  <si>
    <t>Asad (G)</t>
  </si>
  <si>
    <t>0301-3692399</t>
  </si>
  <si>
    <t>D42</t>
  </si>
  <si>
    <t>Maqsood</t>
  </si>
  <si>
    <t>0341-2429342</t>
  </si>
  <si>
    <t>D39</t>
  </si>
  <si>
    <t>Syeda Aunty</t>
  </si>
  <si>
    <t>0347-2692562</t>
  </si>
  <si>
    <t>D40</t>
  </si>
  <si>
    <t>Farhan Noorani</t>
  </si>
  <si>
    <t>0336-0803650</t>
  </si>
  <si>
    <t>D41</t>
  </si>
  <si>
    <t>Saad</t>
  </si>
  <si>
    <t>0340-2229366</t>
  </si>
  <si>
    <t>D45</t>
  </si>
  <si>
    <t>Zakir</t>
  </si>
  <si>
    <t>0310-2321189</t>
  </si>
  <si>
    <t>D43</t>
  </si>
  <si>
    <t>Imran Ahmad Niazi</t>
  </si>
  <si>
    <t>0331-3883484</t>
  </si>
  <si>
    <t>D44</t>
  </si>
  <si>
    <t>Shakil Ansari</t>
  </si>
  <si>
    <t>Peela Quarter</t>
  </si>
  <si>
    <t>D49</t>
  </si>
  <si>
    <t>Muhammad Alam</t>
  </si>
  <si>
    <t>D46</t>
  </si>
  <si>
    <t>Irfan Hussain Shah</t>
  </si>
  <si>
    <t>0305-2068845</t>
  </si>
  <si>
    <t>1000 Bottle Deposit</t>
  </si>
  <si>
    <t>D47</t>
  </si>
  <si>
    <t>Iftikhar</t>
  </si>
  <si>
    <t>0314-2339956</t>
  </si>
  <si>
    <t>D48</t>
  </si>
  <si>
    <t>Farhan Dabba Mor</t>
  </si>
  <si>
    <t>03341873320</t>
  </si>
  <si>
    <t>D53</t>
  </si>
  <si>
    <t>Nimra Khursheed</t>
  </si>
  <si>
    <t>0370-2095703</t>
  </si>
  <si>
    <t>D50</t>
  </si>
  <si>
    <t>Muhammad Shoaib</t>
  </si>
  <si>
    <t>D51</t>
  </si>
  <si>
    <t>Ahsan</t>
  </si>
  <si>
    <t>0310-2867591</t>
  </si>
  <si>
    <t>D52</t>
  </si>
  <si>
    <t>Yazdan</t>
  </si>
  <si>
    <t>0340-8580177</t>
  </si>
  <si>
    <t>D54</t>
  </si>
  <si>
    <t>Sultan Ahmad</t>
  </si>
  <si>
    <t>D75</t>
  </si>
  <si>
    <t>Saif ud din</t>
  </si>
  <si>
    <t>0345-3419545</t>
  </si>
  <si>
    <t>D55</t>
  </si>
  <si>
    <t>Kamal</t>
  </si>
  <si>
    <t>0310-2357468</t>
  </si>
  <si>
    <t>1000 Cash Deposit</t>
  </si>
  <si>
    <t>D78</t>
  </si>
  <si>
    <t>Bilal</t>
  </si>
  <si>
    <t>D57</t>
  </si>
  <si>
    <t>Mubeen</t>
  </si>
  <si>
    <t>D58</t>
  </si>
  <si>
    <t>Ayaz Ali</t>
  </si>
  <si>
    <t>0317-8910063</t>
  </si>
  <si>
    <t>D59</t>
  </si>
  <si>
    <t>Wajahat</t>
  </si>
  <si>
    <t>0319-0356694</t>
  </si>
  <si>
    <t>D60</t>
  </si>
  <si>
    <t>Murtaza</t>
  </si>
  <si>
    <t>D61</t>
  </si>
  <si>
    <t>Anum State</t>
  </si>
  <si>
    <t>D2</t>
  </si>
  <si>
    <t>Shahzaib Ashmil</t>
  </si>
  <si>
    <t>0311-8270585</t>
  </si>
  <si>
    <t>D63</t>
  </si>
  <si>
    <t>Saeed</t>
  </si>
  <si>
    <t>0300-2644707</t>
  </si>
  <si>
    <t>2000 Cash Deposit</t>
  </si>
  <si>
    <t>D64</t>
  </si>
  <si>
    <t>Anas Akhtar</t>
  </si>
  <si>
    <t>0332-2274536</t>
  </si>
  <si>
    <t>D65</t>
  </si>
  <si>
    <t>Muhammad Ali</t>
  </si>
  <si>
    <t>0315-2116949</t>
  </si>
  <si>
    <t>0300-7022679 W.A</t>
  </si>
  <si>
    <t>D66</t>
  </si>
  <si>
    <t>Imran Lal Masjid</t>
  </si>
  <si>
    <t>03193419525</t>
  </si>
  <si>
    <t>D67</t>
  </si>
  <si>
    <t>Noman Dil Lagi</t>
  </si>
  <si>
    <t>Dil Lagi</t>
  </si>
  <si>
    <t>0321-2882254</t>
  </si>
  <si>
    <t>5000 Cash Deposit</t>
  </si>
  <si>
    <t>D68</t>
  </si>
  <si>
    <t>Dilshad</t>
  </si>
  <si>
    <t>0310-2319787</t>
  </si>
  <si>
    <t>D69</t>
  </si>
  <si>
    <t>Ahsaan</t>
  </si>
  <si>
    <t>0316-2466472</t>
  </si>
  <si>
    <t>D70</t>
  </si>
  <si>
    <t>Shahbaz Q</t>
  </si>
  <si>
    <t>0316-4370162</t>
  </si>
  <si>
    <t>D3</t>
  </si>
  <si>
    <t>Naushad</t>
  </si>
  <si>
    <t>0311-2938058</t>
  </si>
  <si>
    <t>D72</t>
  </si>
  <si>
    <t>Shahmeer</t>
  </si>
  <si>
    <t>D73</t>
  </si>
  <si>
    <t>Waqeel Ansari</t>
  </si>
  <si>
    <t>D74</t>
  </si>
  <si>
    <t>Qamar ud Din</t>
  </si>
  <si>
    <t>0343-3454019</t>
  </si>
  <si>
    <t>D17</t>
  </si>
  <si>
    <t>Umair Ashmil</t>
  </si>
  <si>
    <t>D76</t>
  </si>
  <si>
    <t>Danish</t>
  </si>
  <si>
    <t>0331-3780469</t>
  </si>
  <si>
    <t>D77</t>
  </si>
  <si>
    <t>Shayan Shams</t>
  </si>
  <si>
    <t>0315-2960179</t>
  </si>
  <si>
    <t>D32</t>
  </si>
  <si>
    <t>M.Bilal</t>
  </si>
  <si>
    <t>0316-2794540</t>
  </si>
  <si>
    <t>D34</t>
  </si>
  <si>
    <t>Hasan Baloch</t>
  </si>
  <si>
    <t>1000 DEPOSIT</t>
  </si>
  <si>
    <t>D79</t>
  </si>
  <si>
    <t>Rizwan</t>
  </si>
  <si>
    <t>0333-2365185</t>
  </si>
  <si>
    <t>D35</t>
  </si>
  <si>
    <t>Imtiaz</t>
  </si>
  <si>
    <t>0336-2067597</t>
  </si>
  <si>
    <t>D82</t>
  </si>
  <si>
    <t>Hamza</t>
  </si>
  <si>
    <t>D83</t>
  </si>
  <si>
    <t>Md. Shaharyar</t>
  </si>
  <si>
    <t>D84</t>
  </si>
  <si>
    <t>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</si>
</sst>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">
    <xf numFmtId="0" fontId="0" fillId="0" borderId="0" xfId="0"/>
    <xf numFmtId="0" fontId="2" fillId="0" borderId="0" xfId="1" quotePrefix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0" fillId="0" borderId="0" xfId="0" applyNumberFormat="1"/>
    <xf numFmtId="0" fontId="2" fillId="0" borderId="0" xfId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3" borderId="0" xfId="0" applyFill="1"/>
    <xf numFmtId="0" fontId="0" fillId="3" borderId="8" xfId="0" applyFill="1" applyBorder="1" applyAlignment="1">
      <alignment horizontal="center" vertical="center"/>
    </xf>
    <xf numFmtId="0" fontId="2" fillId="3" borderId="0" xfId="1" quotePrefix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" fontId="0" fillId="3" borderId="11" xfId="0" quotePrefix="1" applyNumberFormat="1" applyFill="1" applyBorder="1" applyAlignment="1">
      <alignment horizontal="center" vertical="center"/>
    </xf>
    <xf numFmtId="0" fontId="0" fillId="3" borderId="12" xfId="0" quotePrefix="1" applyFill="1" applyBorder="1" applyAlignment="1">
      <alignment horizontal="center" vertical="center" wrapText="1"/>
    </xf>
    <xf numFmtId="0" fontId="0" fillId="3" borderId="13" xfId="0" quotePrefix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3" borderId="15" xfId="1" quotePrefix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1" fontId="0" fillId="3" borderId="15" xfId="0" quotePrefix="1" applyNumberFormat="1" applyFill="1" applyBorder="1" applyAlignment="1">
      <alignment horizontal="center" vertical="center"/>
    </xf>
    <xf numFmtId="0" fontId="0" fillId="3" borderId="12" xfId="0" quotePrefix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17" xfId="0" quotePrefix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2" fillId="3" borderId="19" xfId="1" quotePrefix="1" applyFill="1" applyBorder="1" applyAlignment="1">
      <alignment horizontal="center" vertical="center"/>
    </xf>
    <xf numFmtId="0" fontId="0" fillId="3" borderId="20" xfId="0" quotePrefix="1" applyFill="1" applyBorder="1" applyAlignment="1">
      <alignment horizontal="center" vertical="center"/>
    </xf>
    <xf numFmtId="16" fontId="0" fillId="3" borderId="0" xfId="0" applyNumberFormat="1" applyFill="1"/>
    <xf numFmtId="0" fontId="0" fillId="5" borderId="1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6" borderId="0" xfId="0" applyFill="1"/>
    <xf numFmtId="0" fontId="0" fillId="3" borderId="23" xfId="0" applyFill="1" applyBorder="1" applyAlignment="1">
      <alignment horizontal="center" vertical="center"/>
    </xf>
    <xf numFmtId="0" fontId="0" fillId="7" borderId="0" xfId="0" applyFill="1"/>
    <xf numFmtId="0" fontId="0" fillId="8" borderId="19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" fontId="0" fillId="3" borderId="5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7" borderId="14" xfId="0" applyFill="1" applyBorder="1" applyAlignment="1">
      <alignment horizontal="center" vertical="center"/>
    </xf>
    <xf numFmtId="0" fontId="2" fillId="7" borderId="15" xfId="1" quotePrefix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1" fontId="0" fillId="7" borderId="15" xfId="0" quotePrefix="1" applyNumberFormat="1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1" fontId="0" fillId="7" borderId="15" xfId="0" applyNumberFormat="1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1" fontId="0" fillId="7" borderId="19" xfId="0" applyNumberFormat="1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10" borderId="28" xfId="0" applyFill="1" applyBorder="1" applyAlignment="1">
      <alignment horizontal="center" vertical="center"/>
    </xf>
    <xf numFmtId="0" fontId="2" fillId="3" borderId="29" xfId="1" quotePrefix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1" fontId="0" fillId="3" borderId="29" xfId="0" quotePrefix="1" applyNumberFormat="1" applyFill="1" applyBorder="1" applyAlignment="1">
      <alignment horizontal="center" vertical="center"/>
    </xf>
    <xf numFmtId="0" fontId="0" fillId="3" borderId="31" xfId="0" quotePrefix="1" applyFill="1" applyBorder="1" applyAlignment="1">
      <alignment horizontal="center" vertical="center"/>
    </xf>
    <xf numFmtId="0" fontId="0" fillId="3" borderId="32" xfId="0" quotePrefix="1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3" borderId="22" xfId="0" quotePrefix="1" applyFill="1" applyBorder="1" applyAlignment="1">
      <alignment horizontal="center" vertical="center"/>
    </xf>
    <xf numFmtId="0" fontId="0" fillId="3" borderId="36" xfId="0" quotePrefix="1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11" borderId="0" xfId="0" applyFill="1"/>
    <xf numFmtId="1" fontId="0" fillId="3" borderId="19" xfId="0" quotePrefix="1" applyNumberFormat="1" applyFill="1" applyBorder="1" applyAlignment="1">
      <alignment horizontal="center" vertical="center"/>
    </xf>
    <xf numFmtId="0" fontId="0" fillId="3" borderId="40" xfId="0" quotePrefix="1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2" fillId="3" borderId="34" xfId="1" quotePrefix="1" applyFill="1" applyBorder="1" applyAlignment="1">
      <alignment horizontal="center" vertical="center"/>
    </xf>
    <xf numFmtId="1" fontId="0" fillId="3" borderId="34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8" borderId="37" xfId="0" applyFill="1" applyBorder="1" applyAlignment="1">
      <alignment horizontal="center" vertical="center"/>
    </xf>
    <xf numFmtId="0" fontId="0" fillId="3" borderId="34" xfId="0" quotePrefix="1" applyFill="1" applyBorder="1" applyAlignment="1">
      <alignment horizontal="center" vertical="center"/>
    </xf>
    <xf numFmtId="0" fontId="0" fillId="10" borderId="46" xfId="0" applyFill="1" applyBorder="1" applyAlignment="1">
      <alignment horizontal="center" vertical="center"/>
    </xf>
    <xf numFmtId="0" fontId="2" fillId="3" borderId="45" xfId="1" quotePrefix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/>
    </xf>
    <xf numFmtId="1" fontId="0" fillId="3" borderId="45" xfId="0" applyNumberForma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2" fillId="3" borderId="51" xfId="1" quotePrefix="1" applyFill="1" applyBorder="1" applyAlignment="1">
      <alignment horizontal="center" vertical="center"/>
    </xf>
    <xf numFmtId="0" fontId="0" fillId="3" borderId="51" xfId="0" applyFill="1" applyBorder="1" applyAlignment="1">
      <alignment horizontal="center" vertical="center"/>
    </xf>
    <xf numFmtId="1" fontId="0" fillId="3" borderId="51" xfId="0" applyNumberFormat="1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4" xfId="0" applyFill="1" applyBorder="1" applyAlignment="1">
      <alignment horizontal="center" vertical="center"/>
    </xf>
    <xf numFmtId="1" fontId="0" fillId="3" borderId="54" xfId="0" applyNumberForma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6"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d67b84992239917/Devine-2026/Water%20Supply%20Record%20February-2026.xlsm" TargetMode="External"/><Relationship Id="rId1" Type="http://schemas.openxmlformats.org/officeDocument/2006/relationships/externalLinkPath" Target="Devine-2026/Water%20Supply%20Record%20February-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pply Detail"/>
      <sheetName val="Daily Order Detail"/>
      <sheetName val="Bottles Detail"/>
      <sheetName val="Shop Sale"/>
      <sheetName val=" Main"/>
      <sheetName val="Final"/>
      <sheetName val="Chishti to Mansoor Nagar"/>
      <sheetName val="Raisamrohi"/>
      <sheetName val="Dabba Mor to Islam Chowk"/>
      <sheetName val="C1"/>
      <sheetName val="C2"/>
      <sheetName val="C3"/>
      <sheetName val="C4"/>
      <sheetName val="C5"/>
      <sheetName val="C6"/>
      <sheetName val="C7"/>
      <sheetName val="C8"/>
      <sheetName val="C9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6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"/>
      <sheetName val="C47"/>
      <sheetName val="C48"/>
      <sheetName val="C49"/>
      <sheetName val="C50"/>
      <sheetName val="C51"/>
      <sheetName val="C52"/>
      <sheetName val="C53"/>
      <sheetName val="C54"/>
      <sheetName val="C55"/>
      <sheetName val="C56"/>
      <sheetName val="C57"/>
      <sheetName val="C58"/>
      <sheetName val="C59"/>
      <sheetName val="C60"/>
      <sheetName val="C61"/>
      <sheetName val="C62"/>
      <sheetName val="C63"/>
      <sheetName val="C64"/>
      <sheetName val="C65"/>
      <sheetName val="R1"/>
      <sheetName val="R2"/>
      <sheetName val="R3"/>
      <sheetName val="R4"/>
      <sheetName val="R5"/>
      <sheetName val="R6"/>
      <sheetName val="R7"/>
      <sheetName val="R8"/>
      <sheetName val="R9"/>
      <sheetName val="R10"/>
      <sheetName val="R11"/>
      <sheetName val="R12"/>
      <sheetName val="R13"/>
      <sheetName val="R14"/>
      <sheetName val="R15"/>
      <sheetName val="R16"/>
      <sheetName val="R17"/>
      <sheetName val="R18"/>
      <sheetName val="R19"/>
      <sheetName val="R20"/>
      <sheetName val="R21"/>
      <sheetName val="R22"/>
      <sheetName val="R23"/>
      <sheetName val="R24"/>
      <sheetName val="R25"/>
      <sheetName val="R26"/>
      <sheetName val="R27"/>
      <sheetName val="R28"/>
      <sheetName val="R29"/>
      <sheetName val="R30"/>
      <sheetName val="R31"/>
      <sheetName val="R32"/>
      <sheetName val="R33"/>
      <sheetName val="D1"/>
      <sheetName val="D2"/>
      <sheetName val="D3"/>
      <sheetName val="D4"/>
      <sheetName val="D5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D19"/>
      <sheetName val="D20"/>
      <sheetName val="D21"/>
      <sheetName val="D22"/>
      <sheetName val="D23"/>
      <sheetName val="D24"/>
      <sheetName val="D25"/>
      <sheetName val="D26"/>
      <sheetName val="D27"/>
      <sheetName val="D28"/>
      <sheetName val="D29"/>
      <sheetName val="D30"/>
      <sheetName val="D31"/>
      <sheetName val="D32"/>
      <sheetName val="D33"/>
      <sheetName val="D34"/>
      <sheetName val="D35"/>
      <sheetName val="D36"/>
      <sheetName val="D37"/>
      <sheetName val="D38"/>
      <sheetName val="D39"/>
      <sheetName val="D40"/>
      <sheetName val="D41"/>
      <sheetName val="D42"/>
      <sheetName val="D43"/>
      <sheetName val="D44"/>
      <sheetName val="D45"/>
      <sheetName val="D46"/>
      <sheetName val="D47"/>
      <sheetName val="D48"/>
      <sheetName val="D49"/>
      <sheetName val="D50"/>
      <sheetName val="D51"/>
      <sheetName val="D52"/>
      <sheetName val="D53"/>
      <sheetName val="D54"/>
      <sheetName val="D55"/>
      <sheetName val="D56"/>
      <sheetName val="D57"/>
      <sheetName val="D58"/>
      <sheetName val="D59"/>
      <sheetName val="D60"/>
      <sheetName val="D61"/>
      <sheetName val="D62"/>
      <sheetName val="D63"/>
      <sheetName val="D64"/>
      <sheetName val="D65"/>
      <sheetName val="D66"/>
      <sheetName val="D67"/>
      <sheetName val="D68"/>
      <sheetName val="D69"/>
      <sheetName val="D70"/>
      <sheetName val="D71"/>
      <sheetName val="D72"/>
      <sheetName val="D73"/>
      <sheetName val="D74"/>
      <sheetName val="D75"/>
      <sheetName val="D76"/>
      <sheetName val="D77"/>
      <sheetName val="D78"/>
      <sheetName val="D79"/>
      <sheetName val="D80"/>
      <sheetName val="D81"/>
      <sheetName val="D82"/>
      <sheetName val="D83"/>
      <sheetName val="D84"/>
      <sheetName val="D85"/>
      <sheetName val="Closed1"/>
      <sheetName val="2"/>
      <sheetName val="3"/>
      <sheetName val="6"/>
      <sheetName val="Closed"/>
      <sheetName val="07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7">
          <cell r="C37">
            <v>2</v>
          </cell>
          <cell r="D37">
            <v>2</v>
          </cell>
          <cell r="E37">
            <v>-4</v>
          </cell>
          <cell r="G37">
            <v>180</v>
          </cell>
          <cell r="H37">
            <v>-2640</v>
          </cell>
          <cell r="I37">
            <v>-2820</v>
          </cell>
        </row>
      </sheetData>
      <sheetData sheetId="10">
        <row r="37">
          <cell r="C37">
            <v>2</v>
          </cell>
          <cell r="D37">
            <v>2</v>
          </cell>
          <cell r="E37">
            <v>-7</v>
          </cell>
          <cell r="G37">
            <v>180</v>
          </cell>
          <cell r="H37">
            <v>-1040</v>
          </cell>
          <cell r="I37">
            <v>-1220</v>
          </cell>
        </row>
      </sheetData>
      <sheetData sheetId="11">
        <row r="37"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-6140</v>
          </cell>
          <cell r="I37">
            <v>-6140</v>
          </cell>
        </row>
      </sheetData>
      <sheetData sheetId="12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13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14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-1200</v>
          </cell>
          <cell r="I37">
            <v>-1380</v>
          </cell>
        </row>
      </sheetData>
      <sheetData sheetId="15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-1680</v>
          </cell>
          <cell r="I37">
            <v>-1770</v>
          </cell>
        </row>
      </sheetData>
      <sheetData sheetId="16">
        <row r="37">
          <cell r="C37">
            <v>5</v>
          </cell>
          <cell r="D37">
            <v>5</v>
          </cell>
          <cell r="E37">
            <v>-12</v>
          </cell>
          <cell r="G37">
            <v>450</v>
          </cell>
          <cell r="H37">
            <v>-1200</v>
          </cell>
          <cell r="I37">
            <v>-1650</v>
          </cell>
        </row>
      </sheetData>
      <sheetData sheetId="17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-600</v>
          </cell>
          <cell r="I37">
            <v>-780</v>
          </cell>
        </row>
      </sheetData>
      <sheetData sheetId="18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-560</v>
          </cell>
          <cell r="I37">
            <v>-650</v>
          </cell>
        </row>
      </sheetData>
      <sheetData sheetId="19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-880</v>
          </cell>
          <cell r="I37">
            <v>-880</v>
          </cell>
        </row>
      </sheetData>
      <sheetData sheetId="20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-640</v>
          </cell>
          <cell r="I37">
            <v>-640</v>
          </cell>
        </row>
      </sheetData>
      <sheetData sheetId="21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-1040</v>
          </cell>
          <cell r="I37">
            <v>-1220</v>
          </cell>
        </row>
      </sheetData>
      <sheetData sheetId="22">
        <row r="37">
          <cell r="C37">
            <v>3</v>
          </cell>
          <cell r="D37">
            <v>3</v>
          </cell>
          <cell r="E37">
            <v>-5</v>
          </cell>
          <cell r="G37">
            <v>270</v>
          </cell>
          <cell r="H37">
            <v>0</v>
          </cell>
          <cell r="I37">
            <v>-270</v>
          </cell>
        </row>
      </sheetData>
      <sheetData sheetId="23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-1440</v>
          </cell>
          <cell r="I37">
            <v>-1530</v>
          </cell>
        </row>
      </sheetData>
      <sheetData sheetId="24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0</v>
          </cell>
          <cell r="I37">
            <v>-90</v>
          </cell>
        </row>
      </sheetData>
      <sheetData sheetId="25">
        <row r="37">
          <cell r="C37">
            <v>3</v>
          </cell>
          <cell r="D37">
            <v>3</v>
          </cell>
          <cell r="E37">
            <v>-4</v>
          </cell>
          <cell r="G37">
            <v>270</v>
          </cell>
          <cell r="H37">
            <v>-1200</v>
          </cell>
          <cell r="I37">
            <v>-1470</v>
          </cell>
        </row>
      </sheetData>
      <sheetData sheetId="26">
        <row r="37">
          <cell r="C37">
            <v>6</v>
          </cell>
          <cell r="D37">
            <v>6</v>
          </cell>
          <cell r="E37">
            <v>-6</v>
          </cell>
          <cell r="G37">
            <v>540</v>
          </cell>
          <cell r="H37">
            <v>0</v>
          </cell>
          <cell r="I37">
            <v>-540</v>
          </cell>
        </row>
      </sheetData>
      <sheetData sheetId="27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-1200</v>
          </cell>
          <cell r="I37">
            <v>-1380</v>
          </cell>
        </row>
      </sheetData>
      <sheetData sheetId="28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29">
        <row r="37">
          <cell r="C37">
            <v>4</v>
          </cell>
          <cell r="D37">
            <v>4</v>
          </cell>
          <cell r="E37">
            <v>-6</v>
          </cell>
          <cell r="G37">
            <v>360</v>
          </cell>
          <cell r="H37">
            <v>-2760</v>
          </cell>
          <cell r="I37">
            <v>-3120</v>
          </cell>
        </row>
      </sheetData>
      <sheetData sheetId="30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-1120</v>
          </cell>
          <cell r="I37">
            <v>-1300</v>
          </cell>
        </row>
      </sheetData>
      <sheetData sheetId="31">
        <row r="37">
          <cell r="C37">
            <v>1</v>
          </cell>
          <cell r="D37">
            <v>1</v>
          </cell>
          <cell r="E37">
            <v>-4</v>
          </cell>
          <cell r="G37">
            <v>90</v>
          </cell>
          <cell r="H37">
            <v>-320</v>
          </cell>
          <cell r="I37">
            <v>-410</v>
          </cell>
        </row>
      </sheetData>
      <sheetData sheetId="32">
        <row r="37">
          <cell r="C37">
            <v>0</v>
          </cell>
          <cell r="D37">
            <v>0</v>
          </cell>
          <cell r="E37">
            <v>-6</v>
          </cell>
          <cell r="G37">
            <v>0</v>
          </cell>
          <cell r="H37">
            <v>-400</v>
          </cell>
          <cell r="I37">
            <v>-400</v>
          </cell>
        </row>
      </sheetData>
      <sheetData sheetId="33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-480</v>
          </cell>
          <cell r="I37">
            <v>-480</v>
          </cell>
        </row>
      </sheetData>
      <sheetData sheetId="34">
        <row r="37">
          <cell r="C37">
            <v>3</v>
          </cell>
          <cell r="D37">
            <v>3</v>
          </cell>
          <cell r="E37">
            <v>-4</v>
          </cell>
          <cell r="G37">
            <v>270</v>
          </cell>
          <cell r="H37">
            <v>0</v>
          </cell>
          <cell r="I37">
            <v>-270</v>
          </cell>
        </row>
      </sheetData>
      <sheetData sheetId="35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-160</v>
          </cell>
          <cell r="I37">
            <v>-160</v>
          </cell>
        </row>
      </sheetData>
      <sheetData sheetId="36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-400</v>
          </cell>
          <cell r="I37">
            <v>-400</v>
          </cell>
        </row>
      </sheetData>
      <sheetData sheetId="37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38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-1200</v>
          </cell>
          <cell r="I37">
            <v>-1380</v>
          </cell>
        </row>
      </sheetData>
      <sheetData sheetId="39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-6340</v>
          </cell>
          <cell r="I37">
            <v>-6520</v>
          </cell>
        </row>
      </sheetData>
      <sheetData sheetId="40">
        <row r="37">
          <cell r="C37">
            <v>3</v>
          </cell>
          <cell r="D37">
            <v>3</v>
          </cell>
          <cell r="E37">
            <v>-2</v>
          </cell>
          <cell r="G37">
            <v>270</v>
          </cell>
          <cell r="H37">
            <v>240</v>
          </cell>
          <cell r="I37">
            <v>-30</v>
          </cell>
        </row>
      </sheetData>
      <sheetData sheetId="41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-1360</v>
          </cell>
          <cell r="I37">
            <v>-1540</v>
          </cell>
        </row>
      </sheetData>
      <sheetData sheetId="42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-560</v>
          </cell>
          <cell r="I37">
            <v>-650</v>
          </cell>
        </row>
      </sheetData>
      <sheetData sheetId="43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-70</v>
          </cell>
          <cell r="I37">
            <v>-160</v>
          </cell>
        </row>
      </sheetData>
      <sheetData sheetId="44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580</v>
          </cell>
          <cell r="I37">
            <v>400</v>
          </cell>
        </row>
      </sheetData>
      <sheetData sheetId="45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46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47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-640</v>
          </cell>
          <cell r="I37">
            <v>-640</v>
          </cell>
        </row>
      </sheetData>
      <sheetData sheetId="48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49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-880</v>
          </cell>
          <cell r="I37">
            <v>-970</v>
          </cell>
        </row>
      </sheetData>
      <sheetData sheetId="50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-720</v>
          </cell>
          <cell r="I37">
            <v>-810</v>
          </cell>
        </row>
      </sheetData>
      <sheetData sheetId="51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-160</v>
          </cell>
          <cell r="I37">
            <v>-250</v>
          </cell>
        </row>
      </sheetData>
      <sheetData sheetId="52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0</v>
          </cell>
          <cell r="I37">
            <v>-90</v>
          </cell>
        </row>
      </sheetData>
      <sheetData sheetId="53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54">
        <row r="37">
          <cell r="C37">
            <v>2</v>
          </cell>
          <cell r="D37">
            <v>2</v>
          </cell>
          <cell r="E37">
            <v>-4</v>
          </cell>
          <cell r="G37">
            <v>180</v>
          </cell>
          <cell r="H37">
            <v>-1200</v>
          </cell>
          <cell r="I37">
            <v>-1380</v>
          </cell>
        </row>
      </sheetData>
      <sheetData sheetId="55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-1510</v>
          </cell>
          <cell r="I37">
            <v>-1600</v>
          </cell>
        </row>
      </sheetData>
      <sheetData sheetId="56">
        <row r="37">
          <cell r="C37">
            <v>3</v>
          </cell>
          <cell r="D37">
            <v>3</v>
          </cell>
          <cell r="E37">
            <v>-3</v>
          </cell>
          <cell r="G37">
            <v>270</v>
          </cell>
          <cell r="H37">
            <v>-1680</v>
          </cell>
          <cell r="I37">
            <v>-1950</v>
          </cell>
        </row>
      </sheetData>
      <sheetData sheetId="57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58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-1920</v>
          </cell>
          <cell r="I37">
            <v>-2100</v>
          </cell>
        </row>
      </sheetData>
      <sheetData sheetId="59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-480</v>
          </cell>
          <cell r="I37">
            <v>-660</v>
          </cell>
        </row>
      </sheetData>
      <sheetData sheetId="60">
        <row r="37">
          <cell r="C37">
            <v>1</v>
          </cell>
          <cell r="D37">
            <v>0</v>
          </cell>
          <cell r="E37">
            <v>-1</v>
          </cell>
          <cell r="G37">
            <v>90</v>
          </cell>
          <cell r="H37">
            <v>90</v>
          </cell>
          <cell r="I37">
            <v>0</v>
          </cell>
        </row>
      </sheetData>
      <sheetData sheetId="61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-800</v>
          </cell>
          <cell r="I37">
            <v>-800</v>
          </cell>
        </row>
      </sheetData>
      <sheetData sheetId="62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-560</v>
          </cell>
          <cell r="I37">
            <v>-740</v>
          </cell>
        </row>
      </sheetData>
      <sheetData sheetId="63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-2420</v>
          </cell>
          <cell r="I37">
            <v>-2510</v>
          </cell>
        </row>
      </sheetData>
      <sheetData sheetId="64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-560</v>
          </cell>
          <cell r="I37">
            <v>-560</v>
          </cell>
        </row>
      </sheetData>
      <sheetData sheetId="65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-2400</v>
          </cell>
          <cell r="I37">
            <v>-2580</v>
          </cell>
        </row>
      </sheetData>
      <sheetData sheetId="66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-480</v>
          </cell>
          <cell r="I37">
            <v>-480</v>
          </cell>
        </row>
      </sheetData>
      <sheetData sheetId="67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-80</v>
          </cell>
          <cell r="I37">
            <v>-170</v>
          </cell>
        </row>
      </sheetData>
      <sheetData sheetId="68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-1360</v>
          </cell>
          <cell r="I37">
            <v>-1540</v>
          </cell>
        </row>
      </sheetData>
      <sheetData sheetId="69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-400</v>
          </cell>
          <cell r="I37">
            <v>-400</v>
          </cell>
        </row>
      </sheetData>
      <sheetData sheetId="70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-560</v>
          </cell>
          <cell r="I37">
            <v>-560</v>
          </cell>
        </row>
      </sheetData>
      <sheetData sheetId="71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-580</v>
          </cell>
          <cell r="I37">
            <v>-580</v>
          </cell>
        </row>
      </sheetData>
      <sheetData sheetId="72">
        <row r="37"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0</v>
          </cell>
          <cell r="I37">
            <v>0</v>
          </cell>
        </row>
      </sheetData>
      <sheetData sheetId="73">
        <row r="37"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0</v>
          </cell>
          <cell r="I37">
            <v>0</v>
          </cell>
        </row>
      </sheetData>
      <sheetData sheetId="74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-800</v>
          </cell>
          <cell r="I37">
            <v>-800</v>
          </cell>
        </row>
      </sheetData>
      <sheetData sheetId="75">
        <row r="37">
          <cell r="C37">
            <v>1</v>
          </cell>
          <cell r="D37">
            <v>1</v>
          </cell>
          <cell r="E37">
            <v>-5</v>
          </cell>
          <cell r="G37">
            <v>100</v>
          </cell>
          <cell r="H37">
            <v>-1400</v>
          </cell>
          <cell r="I37">
            <v>-1500</v>
          </cell>
        </row>
      </sheetData>
      <sheetData sheetId="76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-720</v>
          </cell>
          <cell r="I37">
            <v>-810</v>
          </cell>
        </row>
      </sheetData>
      <sheetData sheetId="77">
        <row r="37">
          <cell r="C37">
            <v>2</v>
          </cell>
          <cell r="D37">
            <v>2</v>
          </cell>
          <cell r="E37">
            <v>-2</v>
          </cell>
          <cell r="G37">
            <v>200</v>
          </cell>
          <cell r="H37">
            <v>-800</v>
          </cell>
          <cell r="I37">
            <v>-1000</v>
          </cell>
        </row>
      </sheetData>
      <sheetData sheetId="78">
        <row r="37">
          <cell r="C37">
            <v>2</v>
          </cell>
          <cell r="D37">
            <v>2</v>
          </cell>
          <cell r="E37">
            <v>-5</v>
          </cell>
          <cell r="G37">
            <v>200</v>
          </cell>
          <cell r="H37">
            <v>80</v>
          </cell>
          <cell r="I37">
            <v>-120</v>
          </cell>
        </row>
      </sheetData>
      <sheetData sheetId="79">
        <row r="37">
          <cell r="C37">
            <v>1</v>
          </cell>
          <cell r="D37">
            <v>1</v>
          </cell>
          <cell r="E37">
            <v>-3</v>
          </cell>
          <cell r="G37">
            <v>100</v>
          </cell>
          <cell r="H37">
            <v>-960</v>
          </cell>
          <cell r="I37">
            <v>-1060</v>
          </cell>
        </row>
      </sheetData>
      <sheetData sheetId="80">
        <row r="37">
          <cell r="C37">
            <v>2</v>
          </cell>
          <cell r="D37">
            <v>2</v>
          </cell>
          <cell r="E37">
            <v>-3</v>
          </cell>
          <cell r="G37">
            <v>200</v>
          </cell>
          <cell r="H37">
            <v>-1040</v>
          </cell>
          <cell r="I37">
            <v>-1240</v>
          </cell>
        </row>
      </sheetData>
      <sheetData sheetId="81">
        <row r="37">
          <cell r="C37">
            <v>2</v>
          </cell>
          <cell r="D37">
            <v>2</v>
          </cell>
          <cell r="E37">
            <v>-3</v>
          </cell>
          <cell r="G37">
            <v>200</v>
          </cell>
          <cell r="H37">
            <v>-1280</v>
          </cell>
          <cell r="I37">
            <v>-1480</v>
          </cell>
        </row>
      </sheetData>
      <sheetData sheetId="82">
        <row r="37">
          <cell r="C37">
            <v>1</v>
          </cell>
          <cell r="D37">
            <v>1</v>
          </cell>
          <cell r="E37">
            <v>-4</v>
          </cell>
          <cell r="G37">
            <v>100</v>
          </cell>
          <cell r="H37">
            <v>-880</v>
          </cell>
          <cell r="I37">
            <v>-980</v>
          </cell>
        </row>
      </sheetData>
      <sheetData sheetId="83">
        <row r="37">
          <cell r="C37">
            <v>4</v>
          </cell>
          <cell r="D37">
            <v>4</v>
          </cell>
          <cell r="E37">
            <v>-3</v>
          </cell>
          <cell r="G37">
            <v>400</v>
          </cell>
          <cell r="H37">
            <v>-1280</v>
          </cell>
          <cell r="I37">
            <v>-1680</v>
          </cell>
        </row>
      </sheetData>
      <sheetData sheetId="84">
        <row r="37">
          <cell r="C37">
            <v>2</v>
          </cell>
          <cell r="D37">
            <v>2</v>
          </cell>
          <cell r="E37">
            <v>-5</v>
          </cell>
          <cell r="G37">
            <v>200</v>
          </cell>
          <cell r="H37">
            <v>-1200</v>
          </cell>
          <cell r="I37">
            <v>-1400</v>
          </cell>
        </row>
      </sheetData>
      <sheetData sheetId="85">
        <row r="37">
          <cell r="C37">
            <v>1</v>
          </cell>
          <cell r="D37">
            <v>1</v>
          </cell>
          <cell r="E37">
            <v>-2</v>
          </cell>
          <cell r="G37">
            <v>100</v>
          </cell>
          <cell r="H37">
            <v>0</v>
          </cell>
          <cell r="I37">
            <v>-100</v>
          </cell>
        </row>
      </sheetData>
      <sheetData sheetId="86">
        <row r="37">
          <cell r="C37">
            <v>1</v>
          </cell>
          <cell r="D37">
            <v>1</v>
          </cell>
          <cell r="E37">
            <v>-4</v>
          </cell>
          <cell r="G37">
            <v>100</v>
          </cell>
          <cell r="H37">
            <v>0</v>
          </cell>
          <cell r="I37">
            <v>-100</v>
          </cell>
        </row>
      </sheetData>
      <sheetData sheetId="87">
        <row r="37">
          <cell r="C37">
            <v>2</v>
          </cell>
          <cell r="D37">
            <v>2</v>
          </cell>
          <cell r="E37">
            <v>-5</v>
          </cell>
          <cell r="G37">
            <v>200</v>
          </cell>
          <cell r="H37">
            <v>0</v>
          </cell>
          <cell r="I37">
            <v>-200</v>
          </cell>
        </row>
      </sheetData>
      <sheetData sheetId="88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-800</v>
          </cell>
          <cell r="I37">
            <v>-890</v>
          </cell>
        </row>
      </sheetData>
      <sheetData sheetId="89">
        <row r="37">
          <cell r="C37">
            <v>2</v>
          </cell>
          <cell r="D37">
            <v>2</v>
          </cell>
          <cell r="E37">
            <v>-3</v>
          </cell>
          <cell r="G37">
            <v>200</v>
          </cell>
          <cell r="H37">
            <v>-360</v>
          </cell>
          <cell r="I37">
            <v>-560</v>
          </cell>
        </row>
      </sheetData>
      <sheetData sheetId="90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-2400</v>
          </cell>
          <cell r="I37">
            <v>-2400</v>
          </cell>
        </row>
      </sheetData>
      <sheetData sheetId="91">
        <row r="37">
          <cell r="C37">
            <v>2</v>
          </cell>
          <cell r="D37">
            <v>2</v>
          </cell>
          <cell r="E37">
            <v>-4</v>
          </cell>
          <cell r="G37">
            <v>200</v>
          </cell>
          <cell r="H37">
            <v>-1440</v>
          </cell>
          <cell r="I37">
            <v>-1640</v>
          </cell>
        </row>
      </sheetData>
      <sheetData sheetId="92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0</v>
          </cell>
          <cell r="I37">
            <v>-90</v>
          </cell>
        </row>
      </sheetData>
      <sheetData sheetId="93">
        <row r="37">
          <cell r="C37">
            <v>2</v>
          </cell>
          <cell r="D37">
            <v>2</v>
          </cell>
          <cell r="E37">
            <v>-2</v>
          </cell>
          <cell r="G37">
            <v>200</v>
          </cell>
          <cell r="H37">
            <v>-260</v>
          </cell>
          <cell r="I37">
            <v>-460</v>
          </cell>
        </row>
      </sheetData>
      <sheetData sheetId="94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0</v>
          </cell>
          <cell r="I37">
            <v>0</v>
          </cell>
        </row>
      </sheetData>
      <sheetData sheetId="95">
        <row r="37">
          <cell r="C37">
            <v>2</v>
          </cell>
          <cell r="D37">
            <v>2</v>
          </cell>
          <cell r="E37">
            <v>-4</v>
          </cell>
          <cell r="G37">
            <v>200</v>
          </cell>
          <cell r="H37">
            <v>-560</v>
          </cell>
          <cell r="I37">
            <v>-760</v>
          </cell>
        </row>
      </sheetData>
      <sheetData sheetId="96">
        <row r="37">
          <cell r="C37">
            <v>2</v>
          </cell>
          <cell r="D37">
            <v>0</v>
          </cell>
          <cell r="E37">
            <v>-2</v>
          </cell>
          <cell r="G37">
            <v>200</v>
          </cell>
          <cell r="H37">
            <v>0</v>
          </cell>
          <cell r="I37">
            <v>-200</v>
          </cell>
        </row>
      </sheetData>
      <sheetData sheetId="97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-160</v>
          </cell>
          <cell r="I37">
            <v>-160</v>
          </cell>
        </row>
      </sheetData>
      <sheetData sheetId="98">
        <row r="37">
          <cell r="C37">
            <v>6</v>
          </cell>
          <cell r="D37">
            <v>5</v>
          </cell>
          <cell r="E37">
            <v>-6</v>
          </cell>
          <cell r="G37">
            <v>600</v>
          </cell>
          <cell r="H37">
            <v>-1000</v>
          </cell>
          <cell r="I37">
            <v>-1600</v>
          </cell>
        </row>
      </sheetData>
      <sheetData sheetId="99">
        <row r="37">
          <cell r="C37">
            <v>1</v>
          </cell>
          <cell r="D37">
            <v>1</v>
          </cell>
          <cell r="E37">
            <v>-2</v>
          </cell>
          <cell r="G37">
            <v>100</v>
          </cell>
          <cell r="H37">
            <v>0</v>
          </cell>
          <cell r="I37">
            <v>-100</v>
          </cell>
        </row>
      </sheetData>
      <sheetData sheetId="100">
        <row r="37"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0</v>
          </cell>
          <cell r="I37">
            <v>0</v>
          </cell>
        </row>
      </sheetData>
      <sheetData sheetId="101">
        <row r="37">
          <cell r="C37">
            <v>4</v>
          </cell>
          <cell r="D37">
            <v>4</v>
          </cell>
          <cell r="E37">
            <v>-6</v>
          </cell>
          <cell r="G37">
            <v>400</v>
          </cell>
          <cell r="H37">
            <v>0</v>
          </cell>
          <cell r="I37">
            <v>-400</v>
          </cell>
        </row>
      </sheetData>
      <sheetData sheetId="102">
        <row r="37">
          <cell r="C37">
            <v>3</v>
          </cell>
          <cell r="D37">
            <v>3</v>
          </cell>
          <cell r="E37">
            <v>-5</v>
          </cell>
          <cell r="G37">
            <v>240</v>
          </cell>
          <cell r="H37">
            <v>-480</v>
          </cell>
          <cell r="I37">
            <v>-720</v>
          </cell>
        </row>
      </sheetData>
      <sheetData sheetId="103">
        <row r="37">
          <cell r="C37">
            <v>1</v>
          </cell>
          <cell r="D37">
            <v>1</v>
          </cell>
          <cell r="E37">
            <v>-3</v>
          </cell>
          <cell r="G37">
            <v>100</v>
          </cell>
          <cell r="H37">
            <v>-800</v>
          </cell>
          <cell r="I37">
            <v>-900</v>
          </cell>
        </row>
      </sheetData>
      <sheetData sheetId="104">
        <row r="37">
          <cell r="C37">
            <v>2</v>
          </cell>
          <cell r="D37">
            <v>2</v>
          </cell>
          <cell r="E37">
            <v>-1</v>
          </cell>
          <cell r="G37">
            <v>200</v>
          </cell>
          <cell r="H37">
            <v>-320</v>
          </cell>
          <cell r="I37">
            <v>-520</v>
          </cell>
        </row>
      </sheetData>
      <sheetData sheetId="105">
        <row r="37">
          <cell r="C37">
            <v>2</v>
          </cell>
          <cell r="D37">
            <v>2</v>
          </cell>
          <cell r="E37">
            <v>0</v>
          </cell>
          <cell r="G37">
            <v>200</v>
          </cell>
          <cell r="H37">
            <v>-1200</v>
          </cell>
          <cell r="I37">
            <v>-1400</v>
          </cell>
        </row>
      </sheetData>
      <sheetData sheetId="106">
        <row r="37">
          <cell r="C37">
            <v>3</v>
          </cell>
          <cell r="D37">
            <v>3</v>
          </cell>
          <cell r="E37">
            <v>-3</v>
          </cell>
          <cell r="G37">
            <v>300</v>
          </cell>
          <cell r="H37">
            <v>-2280</v>
          </cell>
          <cell r="I37">
            <v>-2580</v>
          </cell>
        </row>
      </sheetData>
      <sheetData sheetId="107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-1280</v>
          </cell>
          <cell r="I37">
            <v>-1370</v>
          </cell>
        </row>
      </sheetData>
      <sheetData sheetId="108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-720</v>
          </cell>
          <cell r="I37">
            <v>-810</v>
          </cell>
        </row>
      </sheetData>
      <sheetData sheetId="109">
        <row r="37">
          <cell r="C37">
            <v>3</v>
          </cell>
          <cell r="D37">
            <v>3</v>
          </cell>
          <cell r="E37">
            <v>-4</v>
          </cell>
          <cell r="G37">
            <v>270</v>
          </cell>
          <cell r="H37">
            <v>-1040</v>
          </cell>
          <cell r="I37">
            <v>-1310</v>
          </cell>
        </row>
      </sheetData>
      <sheetData sheetId="110">
        <row r="37">
          <cell r="C37">
            <v>0</v>
          </cell>
          <cell r="D37">
            <v>0</v>
          </cell>
          <cell r="E37">
            <v>-4</v>
          </cell>
          <cell r="G37">
            <v>0</v>
          </cell>
          <cell r="H37">
            <v>-1800</v>
          </cell>
          <cell r="I37">
            <v>-1800</v>
          </cell>
        </row>
      </sheetData>
      <sheetData sheetId="111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-1520</v>
          </cell>
          <cell r="I37">
            <v>-1700</v>
          </cell>
        </row>
      </sheetData>
      <sheetData sheetId="112">
        <row r="37">
          <cell r="C37">
            <v>1</v>
          </cell>
          <cell r="D37">
            <v>1</v>
          </cell>
          <cell r="E37">
            <v>-6</v>
          </cell>
          <cell r="G37">
            <v>90</v>
          </cell>
          <cell r="H37">
            <v>-2020</v>
          </cell>
          <cell r="I37">
            <v>-2110</v>
          </cell>
        </row>
      </sheetData>
      <sheetData sheetId="113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-960</v>
          </cell>
          <cell r="I37">
            <v>-1050</v>
          </cell>
        </row>
      </sheetData>
      <sheetData sheetId="114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-960</v>
          </cell>
          <cell r="I37">
            <v>-1050</v>
          </cell>
        </row>
      </sheetData>
      <sheetData sheetId="115">
        <row r="37">
          <cell r="C37">
            <v>3</v>
          </cell>
          <cell r="D37">
            <v>3</v>
          </cell>
          <cell r="E37">
            <v>-5</v>
          </cell>
          <cell r="G37">
            <v>270</v>
          </cell>
          <cell r="H37">
            <v>0</v>
          </cell>
          <cell r="I37">
            <v>-270</v>
          </cell>
        </row>
      </sheetData>
      <sheetData sheetId="116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117">
        <row r="37">
          <cell r="C37">
            <v>1</v>
          </cell>
          <cell r="D37">
            <v>1</v>
          </cell>
          <cell r="E37">
            <v>-4</v>
          </cell>
          <cell r="G37">
            <v>90</v>
          </cell>
          <cell r="H37">
            <v>-1920</v>
          </cell>
          <cell r="I37">
            <v>-2010</v>
          </cell>
        </row>
      </sheetData>
      <sheetData sheetId="118">
        <row r="37">
          <cell r="C37">
            <v>1</v>
          </cell>
          <cell r="D37">
            <v>1</v>
          </cell>
          <cell r="E37">
            <v>-4</v>
          </cell>
          <cell r="G37">
            <v>90</v>
          </cell>
          <cell r="H37">
            <v>-560</v>
          </cell>
          <cell r="I37">
            <v>-650</v>
          </cell>
        </row>
      </sheetData>
      <sheetData sheetId="119">
        <row r="37">
          <cell r="C37">
            <v>2</v>
          </cell>
          <cell r="D37">
            <v>2</v>
          </cell>
          <cell r="E37">
            <v>-3</v>
          </cell>
          <cell r="G37">
            <v>200</v>
          </cell>
          <cell r="H37">
            <v>-320</v>
          </cell>
          <cell r="I37">
            <v>-520</v>
          </cell>
        </row>
      </sheetData>
      <sheetData sheetId="120">
        <row r="37">
          <cell r="C37">
            <v>2</v>
          </cell>
          <cell r="D37">
            <v>2</v>
          </cell>
          <cell r="E37">
            <v>-4</v>
          </cell>
          <cell r="G37">
            <v>180</v>
          </cell>
          <cell r="H37">
            <v>-1440</v>
          </cell>
          <cell r="I37">
            <v>-1620</v>
          </cell>
        </row>
      </sheetData>
      <sheetData sheetId="121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0</v>
          </cell>
          <cell r="I37">
            <v>0</v>
          </cell>
        </row>
      </sheetData>
      <sheetData sheetId="122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-2700</v>
          </cell>
          <cell r="I37">
            <v>-2700</v>
          </cell>
        </row>
      </sheetData>
      <sheetData sheetId="123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-880</v>
          </cell>
          <cell r="I37">
            <v>-1060</v>
          </cell>
        </row>
      </sheetData>
      <sheetData sheetId="124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200</v>
          </cell>
          <cell r="I37">
            <v>110</v>
          </cell>
        </row>
      </sheetData>
      <sheetData sheetId="125">
        <row r="37">
          <cell r="C37">
            <v>5</v>
          </cell>
          <cell r="D37">
            <v>5</v>
          </cell>
          <cell r="E37">
            <v>-3</v>
          </cell>
          <cell r="G37">
            <v>450</v>
          </cell>
          <cell r="H37">
            <v>-4320</v>
          </cell>
          <cell r="I37">
            <v>-4770</v>
          </cell>
        </row>
      </sheetData>
      <sheetData sheetId="126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-1200</v>
          </cell>
          <cell r="I37">
            <v>-1380</v>
          </cell>
        </row>
      </sheetData>
      <sheetData sheetId="127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-1380</v>
          </cell>
          <cell r="I37">
            <v>-1380</v>
          </cell>
        </row>
      </sheetData>
      <sheetData sheetId="128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-1040</v>
          </cell>
          <cell r="I37">
            <v>-1040</v>
          </cell>
        </row>
      </sheetData>
      <sheetData sheetId="129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-720</v>
          </cell>
          <cell r="I37">
            <v>-900</v>
          </cell>
        </row>
      </sheetData>
      <sheetData sheetId="130">
        <row r="37">
          <cell r="C37">
            <v>0</v>
          </cell>
          <cell r="D37">
            <v>0</v>
          </cell>
          <cell r="E37">
            <v>-5</v>
          </cell>
          <cell r="G37">
            <v>0</v>
          </cell>
          <cell r="H37">
            <v>-1600</v>
          </cell>
          <cell r="I37">
            <v>-1600</v>
          </cell>
        </row>
      </sheetData>
      <sheetData sheetId="131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132">
        <row r="37">
          <cell r="C37">
            <v>1</v>
          </cell>
          <cell r="D37">
            <v>1</v>
          </cell>
          <cell r="E37">
            <v>-2</v>
          </cell>
          <cell r="G37">
            <v>100</v>
          </cell>
          <cell r="H37">
            <v>-480</v>
          </cell>
          <cell r="I37">
            <v>-580</v>
          </cell>
        </row>
      </sheetData>
      <sheetData sheetId="133">
        <row r="37">
          <cell r="C37">
            <v>2</v>
          </cell>
          <cell r="D37">
            <v>2</v>
          </cell>
          <cell r="E37">
            <v>0</v>
          </cell>
          <cell r="G37">
            <v>200</v>
          </cell>
          <cell r="H37">
            <v>0</v>
          </cell>
          <cell r="I37">
            <v>-200</v>
          </cell>
        </row>
      </sheetData>
      <sheetData sheetId="134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-2780</v>
          </cell>
          <cell r="I37">
            <v>-2780</v>
          </cell>
        </row>
      </sheetData>
      <sheetData sheetId="135">
        <row r="37">
          <cell r="C37">
            <v>2</v>
          </cell>
          <cell r="D37">
            <v>0</v>
          </cell>
          <cell r="E37">
            <v>-2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136">
        <row r="37">
          <cell r="C37">
            <v>3</v>
          </cell>
          <cell r="D37">
            <v>3</v>
          </cell>
          <cell r="E37">
            <v>-2</v>
          </cell>
          <cell r="G37">
            <v>300</v>
          </cell>
          <cell r="H37">
            <v>0</v>
          </cell>
          <cell r="I37">
            <v>-300</v>
          </cell>
        </row>
      </sheetData>
      <sheetData sheetId="137">
        <row r="37">
          <cell r="C37">
            <v>2</v>
          </cell>
          <cell r="D37">
            <v>2</v>
          </cell>
          <cell r="E37">
            <v>-4</v>
          </cell>
          <cell r="G37">
            <v>180</v>
          </cell>
          <cell r="H37">
            <v>-1440</v>
          </cell>
          <cell r="I37">
            <v>-1620</v>
          </cell>
        </row>
      </sheetData>
      <sheetData sheetId="138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-800</v>
          </cell>
          <cell r="I37">
            <v>-800</v>
          </cell>
        </row>
      </sheetData>
      <sheetData sheetId="139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-2680</v>
          </cell>
          <cell r="I37">
            <v>-2860</v>
          </cell>
        </row>
      </sheetData>
      <sheetData sheetId="140">
        <row r="37">
          <cell r="C37">
            <v>2</v>
          </cell>
          <cell r="D37">
            <v>2</v>
          </cell>
          <cell r="E37">
            <v>0</v>
          </cell>
          <cell r="G37">
            <v>170</v>
          </cell>
          <cell r="H37">
            <v>-1660</v>
          </cell>
          <cell r="I37">
            <v>-1830</v>
          </cell>
        </row>
      </sheetData>
      <sheetData sheetId="141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-800</v>
          </cell>
          <cell r="I37">
            <v>-980</v>
          </cell>
        </row>
      </sheetData>
      <sheetData sheetId="142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143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-420</v>
          </cell>
          <cell r="I37">
            <v>-420</v>
          </cell>
        </row>
      </sheetData>
      <sheetData sheetId="144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-160</v>
          </cell>
          <cell r="I37">
            <v>-160</v>
          </cell>
        </row>
      </sheetData>
      <sheetData sheetId="145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-640</v>
          </cell>
          <cell r="I37">
            <v>-820</v>
          </cell>
        </row>
      </sheetData>
      <sheetData sheetId="146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-480</v>
          </cell>
          <cell r="I37">
            <v>-480</v>
          </cell>
        </row>
      </sheetData>
      <sheetData sheetId="147">
        <row r="37">
          <cell r="C37">
            <v>3</v>
          </cell>
          <cell r="D37">
            <v>3</v>
          </cell>
          <cell r="E37">
            <v>-2</v>
          </cell>
          <cell r="G37">
            <v>270</v>
          </cell>
          <cell r="H37">
            <v>-1200</v>
          </cell>
          <cell r="I37">
            <v>-1470</v>
          </cell>
        </row>
      </sheetData>
      <sheetData sheetId="148">
        <row r="37">
          <cell r="C37">
            <v>2</v>
          </cell>
          <cell r="D37">
            <v>2</v>
          </cell>
          <cell r="E37">
            <v>-4</v>
          </cell>
          <cell r="G37">
            <v>200</v>
          </cell>
          <cell r="H37">
            <v>-1120</v>
          </cell>
          <cell r="I37">
            <v>-1320</v>
          </cell>
        </row>
      </sheetData>
      <sheetData sheetId="149">
        <row r="37">
          <cell r="C37">
            <v>2</v>
          </cell>
          <cell r="D37">
            <v>2</v>
          </cell>
          <cell r="E37">
            <v>-3</v>
          </cell>
          <cell r="G37">
            <v>160</v>
          </cell>
          <cell r="H37">
            <v>-1680</v>
          </cell>
          <cell r="I37">
            <v>-1840</v>
          </cell>
        </row>
      </sheetData>
      <sheetData sheetId="150">
        <row r="37">
          <cell r="C37">
            <v>1</v>
          </cell>
          <cell r="D37">
            <v>1</v>
          </cell>
          <cell r="E37">
            <v>0</v>
          </cell>
          <cell r="G37">
            <v>90</v>
          </cell>
          <cell r="H37">
            <v>90</v>
          </cell>
          <cell r="I37">
            <v>0</v>
          </cell>
        </row>
      </sheetData>
      <sheetData sheetId="151">
        <row r="37">
          <cell r="C37">
            <v>1</v>
          </cell>
          <cell r="D37">
            <v>1</v>
          </cell>
          <cell r="E37">
            <v>-3</v>
          </cell>
          <cell r="G37">
            <v>100</v>
          </cell>
          <cell r="H37">
            <v>-880</v>
          </cell>
          <cell r="I37">
            <v>-980</v>
          </cell>
        </row>
      </sheetData>
      <sheetData sheetId="152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-1080</v>
          </cell>
          <cell r="I37">
            <v>-1260</v>
          </cell>
        </row>
      </sheetData>
      <sheetData sheetId="153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-720</v>
          </cell>
          <cell r="I37">
            <v>-810</v>
          </cell>
        </row>
      </sheetData>
      <sheetData sheetId="154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-480</v>
          </cell>
          <cell r="I37">
            <v>-570</v>
          </cell>
        </row>
      </sheetData>
      <sheetData sheetId="155">
        <row r="37">
          <cell r="C37">
            <v>1</v>
          </cell>
          <cell r="D37">
            <v>1</v>
          </cell>
          <cell r="E37">
            <v>-2</v>
          </cell>
          <cell r="G37">
            <v>100</v>
          </cell>
          <cell r="H37">
            <v>-440</v>
          </cell>
          <cell r="I37">
            <v>-540</v>
          </cell>
        </row>
      </sheetData>
      <sheetData sheetId="156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0</v>
          </cell>
          <cell r="I37">
            <v>-90</v>
          </cell>
        </row>
      </sheetData>
      <sheetData sheetId="157">
        <row r="37">
          <cell r="C37">
            <v>0</v>
          </cell>
          <cell r="D37">
            <v>0</v>
          </cell>
          <cell r="E37">
            <v>-4</v>
          </cell>
          <cell r="G37">
            <v>0</v>
          </cell>
          <cell r="H37">
            <v>-1280</v>
          </cell>
          <cell r="I37">
            <v>-1280</v>
          </cell>
        </row>
      </sheetData>
      <sheetData sheetId="158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-880</v>
          </cell>
          <cell r="I37">
            <v>-1060</v>
          </cell>
        </row>
      </sheetData>
      <sheetData sheetId="159">
        <row r="37">
          <cell r="C37">
            <v>3</v>
          </cell>
          <cell r="D37">
            <v>3</v>
          </cell>
          <cell r="E37">
            <v>-4</v>
          </cell>
          <cell r="G37">
            <v>300</v>
          </cell>
          <cell r="H37">
            <v>-2000</v>
          </cell>
          <cell r="I37">
            <v>-2300</v>
          </cell>
        </row>
      </sheetData>
      <sheetData sheetId="160">
        <row r="37">
          <cell r="C37">
            <v>2</v>
          </cell>
          <cell r="D37">
            <v>2</v>
          </cell>
          <cell r="E37">
            <v>-2</v>
          </cell>
          <cell r="G37">
            <v>200</v>
          </cell>
          <cell r="H37">
            <v>-320</v>
          </cell>
          <cell r="I37">
            <v>-520</v>
          </cell>
        </row>
      </sheetData>
      <sheetData sheetId="161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-1040</v>
          </cell>
          <cell r="I37">
            <v>-1040</v>
          </cell>
        </row>
      </sheetData>
      <sheetData sheetId="162">
        <row r="37">
          <cell r="C37">
            <v>5</v>
          </cell>
          <cell r="D37">
            <v>2</v>
          </cell>
          <cell r="E37">
            <v>-6</v>
          </cell>
          <cell r="G37">
            <v>450</v>
          </cell>
          <cell r="H37">
            <v>-21280</v>
          </cell>
          <cell r="I37">
            <v>-21730</v>
          </cell>
        </row>
      </sheetData>
      <sheetData sheetId="163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-280</v>
          </cell>
          <cell r="I37">
            <v>-280</v>
          </cell>
        </row>
      </sheetData>
      <sheetData sheetId="164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10</v>
          </cell>
          <cell r="I37">
            <v>-80</v>
          </cell>
        </row>
      </sheetData>
      <sheetData sheetId="165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-720</v>
          </cell>
          <cell r="I37">
            <v>-720</v>
          </cell>
        </row>
      </sheetData>
      <sheetData sheetId="166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-320</v>
          </cell>
          <cell r="I37">
            <v>-320</v>
          </cell>
        </row>
      </sheetData>
      <sheetData sheetId="167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-3200</v>
          </cell>
          <cell r="I37">
            <v>-3380</v>
          </cell>
        </row>
      </sheetData>
      <sheetData sheetId="168">
        <row r="37">
          <cell r="C37">
            <v>5</v>
          </cell>
          <cell r="D37">
            <v>5</v>
          </cell>
          <cell r="E37">
            <v>-4</v>
          </cell>
          <cell r="G37">
            <v>420</v>
          </cell>
          <cell r="H37">
            <v>330</v>
          </cell>
          <cell r="I37">
            <v>-90</v>
          </cell>
        </row>
      </sheetData>
      <sheetData sheetId="169">
        <row r="37">
          <cell r="C37">
            <v>2</v>
          </cell>
          <cell r="D37">
            <v>2</v>
          </cell>
          <cell r="E37">
            <v>-3</v>
          </cell>
          <cell r="G37">
            <v>180</v>
          </cell>
          <cell r="H37">
            <v>0</v>
          </cell>
          <cell r="I37">
            <v>-180</v>
          </cell>
        </row>
      </sheetData>
      <sheetData sheetId="170">
        <row r="37">
          <cell r="C37">
            <v>0</v>
          </cell>
          <cell r="D37">
            <v>0</v>
          </cell>
          <cell r="E37">
            <v>-3</v>
          </cell>
          <cell r="G37">
            <v>0</v>
          </cell>
          <cell r="H37">
            <v>-1960</v>
          </cell>
          <cell r="I37">
            <v>-1960</v>
          </cell>
        </row>
      </sheetData>
      <sheetData sheetId="171">
        <row r="37">
          <cell r="C37">
            <v>1</v>
          </cell>
          <cell r="D37">
            <v>1</v>
          </cell>
          <cell r="E37">
            <v>-2</v>
          </cell>
          <cell r="G37">
            <v>90</v>
          </cell>
          <cell r="H37">
            <v>-1120</v>
          </cell>
          <cell r="I37">
            <v>-1210</v>
          </cell>
        </row>
      </sheetData>
      <sheetData sheetId="172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-400</v>
          </cell>
          <cell r="I37">
            <v>-400</v>
          </cell>
        </row>
      </sheetData>
      <sheetData sheetId="173">
        <row r="37">
          <cell r="C37">
            <v>4</v>
          </cell>
          <cell r="D37">
            <v>4</v>
          </cell>
          <cell r="E37">
            <v>-5</v>
          </cell>
          <cell r="G37">
            <v>360</v>
          </cell>
          <cell r="H37">
            <v>-2240</v>
          </cell>
          <cell r="I37">
            <v>-2600</v>
          </cell>
        </row>
      </sheetData>
      <sheetData sheetId="174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-780</v>
          </cell>
          <cell r="I37">
            <v>-870</v>
          </cell>
        </row>
      </sheetData>
      <sheetData sheetId="175">
        <row r="37">
          <cell r="C37">
            <v>0</v>
          </cell>
          <cell r="D37">
            <v>0</v>
          </cell>
          <cell r="E37">
            <v>-1</v>
          </cell>
          <cell r="G37">
            <v>0</v>
          </cell>
          <cell r="H37">
            <v>-640</v>
          </cell>
          <cell r="I37">
            <v>-640</v>
          </cell>
        </row>
      </sheetData>
      <sheetData sheetId="176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-1280</v>
          </cell>
          <cell r="I37">
            <v>-1370</v>
          </cell>
        </row>
      </sheetData>
      <sheetData sheetId="177">
        <row r="37">
          <cell r="C37">
            <v>2</v>
          </cell>
          <cell r="D37">
            <v>2</v>
          </cell>
          <cell r="E37">
            <v>-1</v>
          </cell>
          <cell r="G37">
            <v>200</v>
          </cell>
          <cell r="H37">
            <v>-20</v>
          </cell>
          <cell r="I37">
            <v>-220</v>
          </cell>
        </row>
      </sheetData>
      <sheetData sheetId="178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0</v>
          </cell>
          <cell r="I37">
            <v>-90</v>
          </cell>
        </row>
      </sheetData>
      <sheetData sheetId="179">
        <row r="37">
          <cell r="C37">
            <v>2</v>
          </cell>
          <cell r="D37">
            <v>2</v>
          </cell>
          <cell r="E37">
            <v>-2</v>
          </cell>
          <cell r="G37">
            <v>180</v>
          </cell>
          <cell r="H37">
            <v>180</v>
          </cell>
          <cell r="I37">
            <v>0</v>
          </cell>
        </row>
      </sheetData>
      <sheetData sheetId="180">
        <row r="37">
          <cell r="C37">
            <v>3</v>
          </cell>
          <cell r="D37">
            <v>3</v>
          </cell>
          <cell r="E37">
            <v>-2</v>
          </cell>
          <cell r="G37">
            <v>270</v>
          </cell>
          <cell r="H37">
            <v>1360</v>
          </cell>
          <cell r="I37">
            <v>1090</v>
          </cell>
        </row>
      </sheetData>
      <sheetData sheetId="181">
        <row r="37">
          <cell r="C37">
            <v>4</v>
          </cell>
          <cell r="D37">
            <v>4</v>
          </cell>
          <cell r="E37">
            <v>-4</v>
          </cell>
          <cell r="G37">
            <v>400</v>
          </cell>
          <cell r="H37">
            <v>-1680</v>
          </cell>
          <cell r="I37">
            <v>-2080</v>
          </cell>
        </row>
      </sheetData>
      <sheetData sheetId="182">
        <row r="37">
          <cell r="C37">
            <v>0</v>
          </cell>
          <cell r="D37">
            <v>0</v>
          </cell>
          <cell r="E37">
            <v>0</v>
          </cell>
          <cell r="G37">
            <v>0</v>
          </cell>
          <cell r="H37">
            <v>-720</v>
          </cell>
          <cell r="I37">
            <v>-720</v>
          </cell>
        </row>
      </sheetData>
      <sheetData sheetId="183">
        <row r="37">
          <cell r="C37">
            <v>1</v>
          </cell>
          <cell r="D37">
            <v>1</v>
          </cell>
          <cell r="E37">
            <v>-3</v>
          </cell>
          <cell r="G37">
            <v>90</v>
          </cell>
          <cell r="H37">
            <v>-720</v>
          </cell>
          <cell r="I37">
            <v>-810</v>
          </cell>
        </row>
      </sheetData>
      <sheetData sheetId="184">
        <row r="37">
          <cell r="C37">
            <v>1</v>
          </cell>
          <cell r="D37">
            <v>0</v>
          </cell>
          <cell r="E37">
            <v>-1</v>
          </cell>
          <cell r="G37">
            <v>100</v>
          </cell>
          <cell r="H37">
            <v>0</v>
          </cell>
          <cell r="I37">
            <v>-100</v>
          </cell>
        </row>
      </sheetData>
      <sheetData sheetId="185">
        <row r="37">
          <cell r="C37">
            <v>0</v>
          </cell>
          <cell r="D37">
            <v>0</v>
          </cell>
          <cell r="E37">
            <v>-2</v>
          </cell>
          <cell r="G37">
            <v>0</v>
          </cell>
          <cell r="H37">
            <v>-720</v>
          </cell>
          <cell r="I37">
            <v>-720</v>
          </cell>
        </row>
      </sheetData>
      <sheetData sheetId="186">
        <row r="37">
          <cell r="C37">
            <v>1</v>
          </cell>
          <cell r="D37">
            <v>1</v>
          </cell>
          <cell r="E37">
            <v>-1</v>
          </cell>
          <cell r="G37">
            <v>90</v>
          </cell>
          <cell r="H37">
            <v>90</v>
          </cell>
          <cell r="I37">
            <v>0</v>
          </cell>
        </row>
      </sheetData>
      <sheetData sheetId="187">
        <row r="37">
          <cell r="C37">
            <v>3</v>
          </cell>
          <cell r="D37">
            <v>3</v>
          </cell>
          <cell r="E37">
            <v>0</v>
          </cell>
          <cell r="G37">
            <v>270</v>
          </cell>
          <cell r="H37">
            <v>-1760</v>
          </cell>
          <cell r="I37">
            <v>-2030</v>
          </cell>
        </row>
      </sheetData>
      <sheetData sheetId="188">
        <row r="37">
          <cell r="C37">
            <v>2</v>
          </cell>
          <cell r="D37">
            <v>2</v>
          </cell>
          <cell r="E37">
            <v>0</v>
          </cell>
          <cell r="G37">
            <v>180</v>
          </cell>
          <cell r="H37">
            <v>-240</v>
          </cell>
          <cell r="I37">
            <v>-420</v>
          </cell>
        </row>
      </sheetData>
      <sheetData sheetId="189">
        <row r="37">
          <cell r="C37">
            <v>1</v>
          </cell>
          <cell r="D37">
            <v>1</v>
          </cell>
          <cell r="E37">
            <v>0</v>
          </cell>
          <cell r="G37">
            <v>90</v>
          </cell>
          <cell r="H37">
            <v>-240</v>
          </cell>
          <cell r="I37">
            <v>-330</v>
          </cell>
        </row>
      </sheetData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E2E9-38CE-4FF9-B329-5A1FFEECA2B1}">
  <dimension ref="A1:P75"/>
  <sheetViews>
    <sheetView tabSelected="1" topLeftCell="A18" zoomScale="90" zoomScaleNormal="90" workbookViewId="0">
      <selection activeCell="D17" sqref="D17"/>
    </sheetView>
  </sheetViews>
  <sheetFormatPr defaultRowHeight="15" customHeight="1" x14ac:dyDescent="0.35"/>
  <cols>
    <col min="2" max="2" width="5.54296875" customWidth="1"/>
    <col min="3" max="3" width="7.54296875" customWidth="1"/>
    <col min="4" max="4" width="20" style="17" bestFit="1" customWidth="1"/>
    <col min="5" max="5" width="16.26953125" style="17" bestFit="1" customWidth="1"/>
    <col min="6" max="6" width="14" style="17" bestFit="1" customWidth="1"/>
    <col min="7" max="7" width="10.7265625" customWidth="1"/>
    <col min="13" max="13" width="16.36328125" customWidth="1"/>
    <col min="14" max="14" width="12.81640625" customWidth="1"/>
  </cols>
  <sheetData>
    <row r="1" spans="1:16" ht="31.5" thickBot="1" x14ac:dyDescent="0.4">
      <c r="A1" s="1"/>
      <c r="B1" s="2" t="s">
        <v>0</v>
      </c>
      <c r="C1" s="3"/>
      <c r="D1" s="4"/>
      <c r="E1" s="4"/>
      <c r="F1" s="4"/>
      <c r="G1" s="3"/>
      <c r="H1" s="3"/>
      <c r="I1" s="3"/>
      <c r="J1" s="3"/>
      <c r="K1" s="3"/>
      <c r="L1" s="3"/>
      <c r="M1" s="3"/>
      <c r="N1" s="5"/>
    </row>
    <row r="2" spans="1:16" ht="19" thickBot="1" x14ac:dyDescent="0.4">
      <c r="B2" s="6" t="s">
        <v>1</v>
      </c>
      <c r="C2" s="7"/>
      <c r="D2" s="8"/>
      <c r="E2" s="8"/>
      <c r="F2" s="8"/>
      <c r="G2" s="7"/>
      <c r="H2" s="7"/>
      <c r="I2" s="7"/>
      <c r="J2" s="7"/>
      <c r="K2" s="7"/>
      <c r="L2" s="7"/>
      <c r="M2" s="7"/>
      <c r="N2" s="9"/>
      <c r="P2" s="10">
        <f>G71</f>
        <v>94</v>
      </c>
    </row>
    <row r="3" spans="1:16" ht="62.25" customHeight="1" thickBot="1" x14ac:dyDescent="0.4">
      <c r="A3" s="11" t="s">
        <v>2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5" t="s">
        <v>14</v>
      </c>
      <c r="N3" s="16" t="s">
        <v>15</v>
      </c>
    </row>
    <row r="4" spans="1:16" s="17" customFormat="1" ht="14.5" x14ac:dyDescent="0.35">
      <c r="B4" s="18">
        <v>1</v>
      </c>
      <c r="C4" s="19" t="s">
        <v>16</v>
      </c>
      <c r="D4" s="20" t="s">
        <v>17</v>
      </c>
      <c r="E4" s="21" t="s">
        <v>18</v>
      </c>
      <c r="F4" s="21" t="s">
        <v>19</v>
      </c>
      <c r="G4" s="22">
        <f>[1]C1!C37</f>
        <v>2</v>
      </c>
      <c r="H4" s="22">
        <f>[1]C1!D37</f>
        <v>2</v>
      </c>
      <c r="I4" s="22">
        <f>[1]C1!E37</f>
        <v>-4</v>
      </c>
      <c r="J4" s="22">
        <f>[1]C1!G37</f>
        <v>180</v>
      </c>
      <c r="K4" s="22">
        <f>[1]C1!H37</f>
        <v>-2640</v>
      </c>
      <c r="L4" s="22">
        <f>[1]C1!I37</f>
        <v>-2820</v>
      </c>
      <c r="M4" s="23" t="s">
        <v>20</v>
      </c>
      <c r="N4" s="24"/>
    </row>
    <row r="5" spans="1:16" s="17" customFormat="1" ht="14.5" x14ac:dyDescent="0.35">
      <c r="B5" s="25">
        <v>2</v>
      </c>
      <c r="C5" s="26" t="s">
        <v>21</v>
      </c>
      <c r="D5" s="27" t="s">
        <v>22</v>
      </c>
      <c r="E5" s="28" t="s">
        <v>18</v>
      </c>
      <c r="F5" s="28" t="s">
        <v>19</v>
      </c>
      <c r="G5" s="29">
        <f>[1]C2!C37</f>
        <v>2</v>
      </c>
      <c r="H5" s="29">
        <f>[1]C2!D37</f>
        <v>2</v>
      </c>
      <c r="I5" s="29">
        <f>[1]C2!E37</f>
        <v>-7</v>
      </c>
      <c r="J5" s="29">
        <f>[1]C2!G37</f>
        <v>180</v>
      </c>
      <c r="K5" s="29">
        <f>[1]C2!H37</f>
        <v>-1040</v>
      </c>
      <c r="L5" s="29">
        <f>[1]C2!I37</f>
        <v>-1220</v>
      </c>
      <c r="M5" s="30" t="s">
        <v>23</v>
      </c>
      <c r="N5" s="24"/>
    </row>
    <row r="6" spans="1:16" s="17" customFormat="1" ht="14.5" x14ac:dyDescent="0.35">
      <c r="B6" s="25">
        <v>3</v>
      </c>
      <c r="C6" s="26" t="s">
        <v>24</v>
      </c>
      <c r="D6" s="27" t="s">
        <v>25</v>
      </c>
      <c r="E6" s="28"/>
      <c r="F6" s="28" t="s">
        <v>19</v>
      </c>
      <c r="G6" s="29">
        <f>[1]C3!C37</f>
        <v>0</v>
      </c>
      <c r="H6" s="29">
        <f>[1]C3!D37</f>
        <v>0</v>
      </c>
      <c r="I6" s="29">
        <f>[1]C3!E37</f>
        <v>0</v>
      </c>
      <c r="J6" s="29">
        <f>[1]C3!G37</f>
        <v>0</v>
      </c>
      <c r="K6" s="29">
        <f>[1]C3!H37</f>
        <v>-6140</v>
      </c>
      <c r="L6" s="29">
        <f>[1]C3!I37</f>
        <v>-6140</v>
      </c>
      <c r="M6" s="30" t="s">
        <v>26</v>
      </c>
      <c r="N6" s="24"/>
    </row>
    <row r="7" spans="1:16" s="17" customFormat="1" ht="14.5" x14ac:dyDescent="0.35">
      <c r="B7" s="25">
        <v>4</v>
      </c>
      <c r="C7" s="26" t="s">
        <v>27</v>
      </c>
      <c r="D7" s="31" t="s">
        <v>28</v>
      </c>
      <c r="E7" s="28" t="s">
        <v>29</v>
      </c>
      <c r="F7" s="28" t="s">
        <v>19</v>
      </c>
      <c r="G7" s="29">
        <f>[1]C4!C37</f>
        <v>2</v>
      </c>
      <c r="H7" s="29">
        <f>[1]C4!D37</f>
        <v>2</v>
      </c>
      <c r="I7" s="29">
        <f>[1]C4!E37</f>
        <v>-2</v>
      </c>
      <c r="J7" s="29">
        <f>[1]C4!G37</f>
        <v>180</v>
      </c>
      <c r="K7" s="29">
        <f>[1]C4!H37</f>
        <v>0</v>
      </c>
      <c r="L7" s="29">
        <f>[1]C4!I37</f>
        <v>-180</v>
      </c>
      <c r="M7" s="30"/>
      <c r="N7" s="24"/>
    </row>
    <row r="8" spans="1:16" s="17" customFormat="1" ht="14.5" x14ac:dyDescent="0.35">
      <c r="B8" s="25">
        <v>5</v>
      </c>
      <c r="C8" s="26" t="s">
        <v>30</v>
      </c>
      <c r="D8" s="32" t="s">
        <v>31</v>
      </c>
      <c r="E8" s="28" t="s">
        <v>32</v>
      </c>
      <c r="F8" s="28" t="s">
        <v>19</v>
      </c>
      <c r="G8" s="29">
        <f>[1]C5!C37</f>
        <v>2</v>
      </c>
      <c r="H8" s="29">
        <f>[1]C5!D37</f>
        <v>2</v>
      </c>
      <c r="I8" s="29">
        <f>[1]C5!E37</f>
        <v>-2</v>
      </c>
      <c r="J8" s="29">
        <f>[1]C5!G37</f>
        <v>180</v>
      </c>
      <c r="K8" s="29">
        <f>[1]C5!H37</f>
        <v>0</v>
      </c>
      <c r="L8" s="29">
        <f>[1]C5!I37</f>
        <v>-180</v>
      </c>
      <c r="M8" s="33"/>
      <c r="N8" s="24"/>
    </row>
    <row r="9" spans="1:16" s="17" customFormat="1" ht="14.5" x14ac:dyDescent="0.35">
      <c r="B9" s="25">
        <v>6</v>
      </c>
      <c r="C9" s="26" t="s">
        <v>33</v>
      </c>
      <c r="D9" s="28" t="s">
        <v>34</v>
      </c>
      <c r="E9" s="28" t="s">
        <v>18</v>
      </c>
      <c r="F9" s="28" t="s">
        <v>19</v>
      </c>
      <c r="G9" s="29">
        <f>[1]C6!C37</f>
        <v>2</v>
      </c>
      <c r="H9" s="29">
        <f>[1]C6!D37</f>
        <v>2</v>
      </c>
      <c r="I9" s="29">
        <f>[1]C6!E37</f>
        <v>-3</v>
      </c>
      <c r="J9" s="29">
        <f>[1]C6!G37</f>
        <v>180</v>
      </c>
      <c r="K9" s="29">
        <f>[1]C6!H37</f>
        <v>-1200</v>
      </c>
      <c r="L9" s="29">
        <f>[1]C6!I37</f>
        <v>-1380</v>
      </c>
      <c r="M9" s="34" t="s">
        <v>35</v>
      </c>
      <c r="N9" s="35"/>
    </row>
    <row r="10" spans="1:16" s="17" customFormat="1" ht="14.5" x14ac:dyDescent="0.35">
      <c r="B10" s="25">
        <v>7</v>
      </c>
      <c r="C10" s="26" t="s">
        <v>36</v>
      </c>
      <c r="D10" s="28" t="s">
        <v>37</v>
      </c>
      <c r="E10" s="28" t="s">
        <v>29</v>
      </c>
      <c r="F10" s="28" t="s">
        <v>19</v>
      </c>
      <c r="G10" s="29">
        <f>[1]C7!C37</f>
        <v>1</v>
      </c>
      <c r="H10" s="29">
        <f>[1]C7!D37</f>
        <v>1</v>
      </c>
      <c r="I10" s="29">
        <f>[1]C7!E37</f>
        <v>-3</v>
      </c>
      <c r="J10" s="29">
        <f>[1]C7!G37</f>
        <v>90</v>
      </c>
      <c r="K10" s="29">
        <f>[1]C7!H37</f>
        <v>-1680</v>
      </c>
      <c r="L10" s="29">
        <f>[1]C7!I37</f>
        <v>-1770</v>
      </c>
      <c r="M10" s="34" t="s">
        <v>38</v>
      </c>
      <c r="N10" s="35"/>
    </row>
    <row r="11" spans="1:16" s="17" customFormat="1" ht="14.5" x14ac:dyDescent="0.35">
      <c r="B11" s="25">
        <v>8</v>
      </c>
      <c r="C11" s="26" t="s">
        <v>39</v>
      </c>
      <c r="D11" s="28" t="s">
        <v>40</v>
      </c>
      <c r="E11" s="28" t="s">
        <v>29</v>
      </c>
      <c r="F11" s="28" t="s">
        <v>19</v>
      </c>
      <c r="G11" s="29">
        <f>[1]C8!C37</f>
        <v>5</v>
      </c>
      <c r="H11" s="29">
        <f>[1]C8!D37</f>
        <v>5</v>
      </c>
      <c r="I11" s="29">
        <f>[1]C8!E37</f>
        <v>-12</v>
      </c>
      <c r="J11" s="29">
        <f>[1]C8!G37</f>
        <v>450</v>
      </c>
      <c r="K11" s="29">
        <f>[1]C8!H37</f>
        <v>-1200</v>
      </c>
      <c r="L11" s="29">
        <f>[1]C8!I37</f>
        <v>-1650</v>
      </c>
      <c r="M11" s="30" t="s">
        <v>41</v>
      </c>
      <c r="N11" s="24"/>
    </row>
    <row r="12" spans="1:16" s="17" customFormat="1" ht="14.5" x14ac:dyDescent="0.35">
      <c r="B12" s="25">
        <v>9</v>
      </c>
      <c r="C12" s="26" t="s">
        <v>42</v>
      </c>
      <c r="D12" s="32" t="s">
        <v>43</v>
      </c>
      <c r="E12" s="28" t="s">
        <v>44</v>
      </c>
      <c r="F12" s="28" t="s">
        <v>45</v>
      </c>
      <c r="G12" s="29">
        <f>[1]C9!C37</f>
        <v>2</v>
      </c>
      <c r="H12" s="29">
        <f>[1]C9!D37</f>
        <v>2</v>
      </c>
      <c r="I12" s="29">
        <f>[1]C9!E37</f>
        <v>-2</v>
      </c>
      <c r="J12" s="29">
        <f>[1]C9!G37</f>
        <v>180</v>
      </c>
      <c r="K12" s="29">
        <f>[1]C9!H37</f>
        <v>-600</v>
      </c>
      <c r="L12" s="29">
        <f>[1]C9!I37</f>
        <v>-780</v>
      </c>
      <c r="M12" s="30" t="s">
        <v>46</v>
      </c>
      <c r="N12" s="24" t="s">
        <v>47</v>
      </c>
    </row>
    <row r="13" spans="1:16" s="17" customFormat="1" ht="14.5" x14ac:dyDescent="0.35">
      <c r="B13" s="25">
        <v>10</v>
      </c>
      <c r="C13" s="26" t="s">
        <v>48</v>
      </c>
      <c r="D13" s="32" t="s">
        <v>49</v>
      </c>
      <c r="E13" s="28" t="s">
        <v>44</v>
      </c>
      <c r="F13" s="28" t="s">
        <v>50</v>
      </c>
      <c r="G13" s="29">
        <f>[1]C10!C37</f>
        <v>1</v>
      </c>
      <c r="H13" s="29">
        <f>[1]C10!D37</f>
        <v>1</v>
      </c>
      <c r="I13" s="29">
        <f>[1]C10!E37</f>
        <v>-3</v>
      </c>
      <c r="J13" s="29">
        <f>[1]C10!G37</f>
        <v>90</v>
      </c>
      <c r="K13" s="29">
        <f>[1]C10!H37</f>
        <v>-560</v>
      </c>
      <c r="L13" s="29">
        <f>[1]C10!I37</f>
        <v>-650</v>
      </c>
      <c r="M13" s="30" t="s">
        <v>51</v>
      </c>
      <c r="N13" s="24"/>
    </row>
    <row r="14" spans="1:16" s="17" customFormat="1" ht="14.5" x14ac:dyDescent="0.35">
      <c r="B14" s="25">
        <v>11</v>
      </c>
      <c r="C14" s="26" t="s">
        <v>52</v>
      </c>
      <c r="D14" s="32" t="s">
        <v>53</v>
      </c>
      <c r="E14" s="28" t="s">
        <v>44</v>
      </c>
      <c r="F14" s="28" t="s">
        <v>45</v>
      </c>
      <c r="G14" s="29">
        <f>[1]C11!C37</f>
        <v>0</v>
      </c>
      <c r="H14" s="29">
        <f>[1]C11!D37</f>
        <v>0</v>
      </c>
      <c r="I14" s="29">
        <f>[1]C11!E37</f>
        <v>-2</v>
      </c>
      <c r="J14" s="29">
        <f>[1]C11!G37</f>
        <v>0</v>
      </c>
      <c r="K14" s="29">
        <f>[1]C11!H37</f>
        <v>-880</v>
      </c>
      <c r="L14" s="29">
        <f>[1]C11!I37</f>
        <v>-880</v>
      </c>
      <c r="M14" s="36" t="s">
        <v>54</v>
      </c>
      <c r="N14" s="35"/>
    </row>
    <row r="15" spans="1:16" s="17" customFormat="1" ht="14.5" x14ac:dyDescent="0.35">
      <c r="B15" s="25">
        <v>12</v>
      </c>
      <c r="C15" s="26" t="s">
        <v>55</v>
      </c>
      <c r="D15" s="32" t="s">
        <v>56</v>
      </c>
      <c r="E15" s="28" t="s">
        <v>44</v>
      </c>
      <c r="F15" s="28" t="s">
        <v>45</v>
      </c>
      <c r="G15" s="29">
        <f>[1]C12!C37</f>
        <v>0</v>
      </c>
      <c r="H15" s="29">
        <f>[1]C12!D37</f>
        <v>0</v>
      </c>
      <c r="I15" s="29">
        <f>[1]C12!E37</f>
        <v>-2</v>
      </c>
      <c r="J15" s="29">
        <f>[1]C12!G37</f>
        <v>0</v>
      </c>
      <c r="K15" s="29">
        <f>[1]C12!H37</f>
        <v>-640</v>
      </c>
      <c r="L15" s="29">
        <f>[1]C12!I37</f>
        <v>-640</v>
      </c>
      <c r="M15" s="36" t="s">
        <v>57</v>
      </c>
      <c r="N15" s="35"/>
    </row>
    <row r="16" spans="1:16" s="17" customFormat="1" ht="14.5" x14ac:dyDescent="0.35">
      <c r="B16" s="25">
        <v>13</v>
      </c>
      <c r="C16" s="26" t="s">
        <v>58</v>
      </c>
      <c r="D16" s="28" t="s">
        <v>59</v>
      </c>
      <c r="E16" s="28" t="s">
        <v>18</v>
      </c>
      <c r="F16" s="28" t="s">
        <v>19</v>
      </c>
      <c r="G16" s="29">
        <f>[1]C13!C37</f>
        <v>2</v>
      </c>
      <c r="H16" s="29">
        <f>[1]C13!D37</f>
        <v>2</v>
      </c>
      <c r="I16" s="29">
        <f>[1]C13!E37</f>
        <v>-3</v>
      </c>
      <c r="J16" s="29">
        <f>[1]C13!G37</f>
        <v>180</v>
      </c>
      <c r="K16" s="29">
        <f>[1]C13!H37</f>
        <v>-1040</v>
      </c>
      <c r="L16" s="29">
        <f>[1]C13!I37</f>
        <v>-1220</v>
      </c>
      <c r="M16" s="36" t="s">
        <v>60</v>
      </c>
      <c r="N16" s="35"/>
    </row>
    <row r="17" spans="2:15" s="17" customFormat="1" ht="14.5" x14ac:dyDescent="0.35">
      <c r="B17" s="25">
        <v>14</v>
      </c>
      <c r="C17" s="26" t="s">
        <v>61</v>
      </c>
      <c r="D17" s="28" t="s">
        <v>62</v>
      </c>
      <c r="E17" s="28" t="s">
        <v>18</v>
      </c>
      <c r="F17" s="28" t="s">
        <v>19</v>
      </c>
      <c r="G17" s="29">
        <f>[1]C14!C37</f>
        <v>3</v>
      </c>
      <c r="H17" s="29">
        <f>[1]C14!D37</f>
        <v>3</v>
      </c>
      <c r="I17" s="29">
        <f>[1]C14!E37</f>
        <v>-5</v>
      </c>
      <c r="J17" s="29">
        <f>[1]C14!G37</f>
        <v>270</v>
      </c>
      <c r="K17" s="29">
        <f>[1]C14!H37</f>
        <v>0</v>
      </c>
      <c r="L17" s="29">
        <f>[1]C14!I37</f>
        <v>-270</v>
      </c>
      <c r="M17" s="36" t="s">
        <v>63</v>
      </c>
      <c r="N17" s="35"/>
    </row>
    <row r="18" spans="2:15" s="17" customFormat="1" ht="14.5" x14ac:dyDescent="0.35">
      <c r="B18" s="25">
        <v>15</v>
      </c>
      <c r="C18" s="26" t="s">
        <v>64</v>
      </c>
      <c r="D18" s="28" t="s">
        <v>65</v>
      </c>
      <c r="E18" s="28" t="s">
        <v>29</v>
      </c>
      <c r="F18" s="28" t="s">
        <v>50</v>
      </c>
      <c r="G18" s="37">
        <f>[1]C15!C37</f>
        <v>1</v>
      </c>
      <c r="H18" s="37">
        <f>[1]C15!D37</f>
        <v>1</v>
      </c>
      <c r="I18" s="37">
        <f>[1]C15!E37</f>
        <v>-3</v>
      </c>
      <c r="J18" s="37">
        <f>[1]C15!G37</f>
        <v>90</v>
      </c>
      <c r="K18" s="37">
        <f>[1]C15!H37</f>
        <v>-1440</v>
      </c>
      <c r="L18" s="37">
        <f>[1]C15!I37</f>
        <v>-1530</v>
      </c>
      <c r="M18" s="36" t="s">
        <v>66</v>
      </c>
      <c r="N18" s="35"/>
    </row>
    <row r="19" spans="2:15" s="17" customFormat="1" ht="14.5" x14ac:dyDescent="0.35">
      <c r="B19" s="25">
        <v>16</v>
      </c>
      <c r="C19" s="26" t="s">
        <v>67</v>
      </c>
      <c r="D19" s="28" t="s">
        <v>68</v>
      </c>
      <c r="E19" s="28" t="s">
        <v>29</v>
      </c>
      <c r="F19" s="28" t="s">
        <v>19</v>
      </c>
      <c r="G19" s="37">
        <f>[1]C16!C37</f>
        <v>1</v>
      </c>
      <c r="H19" s="37">
        <f>[1]C16!D37</f>
        <v>1</v>
      </c>
      <c r="I19" s="37">
        <f>[1]C16!E37</f>
        <v>-3</v>
      </c>
      <c r="J19" s="37">
        <f>[1]C16!G37</f>
        <v>90</v>
      </c>
      <c r="K19" s="37">
        <f>[1]C16!H37</f>
        <v>0</v>
      </c>
      <c r="L19" s="37">
        <f>[1]C16!I37</f>
        <v>-90</v>
      </c>
      <c r="M19" s="36"/>
      <c r="N19" s="35"/>
    </row>
    <row r="20" spans="2:15" s="17" customFormat="1" ht="14.5" x14ac:dyDescent="0.35">
      <c r="B20" s="25">
        <v>17</v>
      </c>
      <c r="C20" s="26" t="s">
        <v>69</v>
      </c>
      <c r="D20" s="38" t="s">
        <v>70</v>
      </c>
      <c r="E20" s="28" t="s">
        <v>71</v>
      </c>
      <c r="F20" s="39" t="s">
        <v>19</v>
      </c>
      <c r="G20" s="37">
        <f>[1]C17!C37</f>
        <v>3</v>
      </c>
      <c r="H20" s="37">
        <f>[1]C17!D37</f>
        <v>3</v>
      </c>
      <c r="I20" s="37">
        <f>[1]C17!E37</f>
        <v>-4</v>
      </c>
      <c r="J20" s="37">
        <f>[1]C17!G37</f>
        <v>270</v>
      </c>
      <c r="K20" s="37">
        <f>[1]C17!H37</f>
        <v>-1200</v>
      </c>
      <c r="L20" s="37">
        <f>[1]C17!I37</f>
        <v>-1470</v>
      </c>
      <c r="M20" s="36" t="s">
        <v>72</v>
      </c>
      <c r="N20" s="35"/>
    </row>
    <row r="21" spans="2:15" s="17" customFormat="1" ht="14.5" x14ac:dyDescent="0.35">
      <c r="B21" s="25">
        <v>18</v>
      </c>
      <c r="C21" s="26" t="s">
        <v>73</v>
      </c>
      <c r="D21" s="40" t="s">
        <v>74</v>
      </c>
      <c r="E21" s="28" t="s">
        <v>32</v>
      </c>
      <c r="F21" s="39" t="s">
        <v>19</v>
      </c>
      <c r="G21" s="41">
        <f>[1]C18!C37</f>
        <v>6</v>
      </c>
      <c r="H21" s="41">
        <f>[1]C18!D37</f>
        <v>6</v>
      </c>
      <c r="I21" s="41">
        <f>[1]C18!E37</f>
        <v>-6</v>
      </c>
      <c r="J21" s="41">
        <f>[1]C18!G37</f>
        <v>540</v>
      </c>
      <c r="K21" s="41">
        <f>[1]C18!H37</f>
        <v>0</v>
      </c>
      <c r="L21" s="41">
        <f>[1]C18!I37</f>
        <v>-540</v>
      </c>
      <c r="M21" s="42" t="s">
        <v>75</v>
      </c>
      <c r="N21" s="43"/>
    </row>
    <row r="22" spans="2:15" s="17" customFormat="1" ht="14.5" x14ac:dyDescent="0.35">
      <c r="B22" s="25">
        <v>19</v>
      </c>
      <c r="C22" s="44" t="s">
        <v>76</v>
      </c>
      <c r="D22" s="39" t="s">
        <v>77</v>
      </c>
      <c r="E22" s="28" t="s">
        <v>71</v>
      </c>
      <c r="F22" s="39" t="s">
        <v>19</v>
      </c>
      <c r="G22" s="41">
        <f>[1]C19!C37</f>
        <v>2</v>
      </c>
      <c r="H22" s="41">
        <f>[1]C19!D37</f>
        <v>2</v>
      </c>
      <c r="I22" s="41">
        <f>[1]C19!E37</f>
        <v>-3</v>
      </c>
      <c r="J22" s="41">
        <f>[1]C19!G37</f>
        <v>180</v>
      </c>
      <c r="K22" s="41">
        <f>[1]C19!H37</f>
        <v>-1200</v>
      </c>
      <c r="L22" s="41">
        <f>[1]C19!I37</f>
        <v>-1380</v>
      </c>
      <c r="M22" s="42" t="s">
        <v>78</v>
      </c>
      <c r="N22" s="43"/>
    </row>
    <row r="23" spans="2:15" s="17" customFormat="1" ht="14.5" x14ac:dyDescent="0.35">
      <c r="B23" s="25">
        <v>20</v>
      </c>
      <c r="C23" s="44" t="s">
        <v>79</v>
      </c>
      <c r="D23" s="39" t="s">
        <v>80</v>
      </c>
      <c r="E23" s="28" t="s">
        <v>18</v>
      </c>
      <c r="F23" s="39" t="s">
        <v>50</v>
      </c>
      <c r="G23" s="41">
        <f>[1]C20!C37</f>
        <v>2</v>
      </c>
      <c r="H23" s="41">
        <f>[1]C20!D37</f>
        <v>2</v>
      </c>
      <c r="I23" s="41">
        <f>[1]C20!E37</f>
        <v>-3</v>
      </c>
      <c r="J23" s="41">
        <f>[1]C20!G37</f>
        <v>180</v>
      </c>
      <c r="K23" s="41">
        <f>[1]C20!H37</f>
        <v>0</v>
      </c>
      <c r="L23" s="41">
        <f>[1]C20!I37</f>
        <v>-180</v>
      </c>
      <c r="M23" s="42" t="s">
        <v>81</v>
      </c>
      <c r="N23" s="43"/>
    </row>
    <row r="24" spans="2:15" s="17" customFormat="1" ht="14.5" x14ac:dyDescent="0.35">
      <c r="B24" s="25">
        <v>21</v>
      </c>
      <c r="C24" s="44" t="s">
        <v>82</v>
      </c>
      <c r="D24" s="40" t="s">
        <v>83</v>
      </c>
      <c r="E24" s="28" t="s">
        <v>32</v>
      </c>
      <c r="F24" s="39" t="s">
        <v>19</v>
      </c>
      <c r="G24" s="41">
        <f>[1]C21!C37</f>
        <v>4</v>
      </c>
      <c r="H24" s="41">
        <f>[1]C21!D37</f>
        <v>4</v>
      </c>
      <c r="I24" s="41">
        <f>[1]C21!E37</f>
        <v>-6</v>
      </c>
      <c r="J24" s="41">
        <f>[1]C21!G37</f>
        <v>360</v>
      </c>
      <c r="K24" s="41">
        <f>[1]C21!H37</f>
        <v>-2760</v>
      </c>
      <c r="L24" s="41">
        <f>[1]C21!I37</f>
        <v>-3120</v>
      </c>
      <c r="M24" s="42" t="s">
        <v>84</v>
      </c>
      <c r="N24" s="43"/>
    </row>
    <row r="25" spans="2:15" s="17" customFormat="1" ht="14.5" x14ac:dyDescent="0.35">
      <c r="B25" s="25">
        <v>22</v>
      </c>
      <c r="C25" s="44" t="s">
        <v>85</v>
      </c>
      <c r="D25" s="39" t="s">
        <v>86</v>
      </c>
      <c r="E25" s="28" t="s">
        <v>18</v>
      </c>
      <c r="F25" s="39" t="s">
        <v>19</v>
      </c>
      <c r="G25" s="41">
        <f>[1]C22!C37</f>
        <v>2</v>
      </c>
      <c r="H25" s="41">
        <f>[1]C22!D37</f>
        <v>2</v>
      </c>
      <c r="I25" s="41">
        <f>[1]C22!E37</f>
        <v>-2</v>
      </c>
      <c r="J25" s="41">
        <f>[1]C22!G37</f>
        <v>180</v>
      </c>
      <c r="K25" s="41">
        <f>[1]C22!H37</f>
        <v>-1120</v>
      </c>
      <c r="L25" s="41">
        <f>[1]C22!I37</f>
        <v>-1300</v>
      </c>
      <c r="M25" s="45" t="s">
        <v>87</v>
      </c>
      <c r="N25" s="43" t="s">
        <v>88</v>
      </c>
      <c r="O25" s="46">
        <v>45931</v>
      </c>
    </row>
    <row r="26" spans="2:15" s="17" customFormat="1" ht="14.5" x14ac:dyDescent="0.35">
      <c r="B26" s="25">
        <v>23</v>
      </c>
      <c r="C26" s="44" t="s">
        <v>89</v>
      </c>
      <c r="D26" s="39" t="s">
        <v>90</v>
      </c>
      <c r="E26" s="28" t="s">
        <v>71</v>
      </c>
      <c r="F26" s="39" t="s">
        <v>19</v>
      </c>
      <c r="G26" s="41">
        <f>[1]C23!C37</f>
        <v>1</v>
      </c>
      <c r="H26" s="41">
        <f>[1]C23!D37</f>
        <v>1</v>
      </c>
      <c r="I26" s="41">
        <f>[1]C23!E37</f>
        <v>-4</v>
      </c>
      <c r="J26" s="41">
        <f>[1]C23!G37</f>
        <v>90</v>
      </c>
      <c r="K26" s="41">
        <f>[1]C23!H37</f>
        <v>-320</v>
      </c>
      <c r="L26" s="41">
        <f>[1]C23!I37</f>
        <v>-410</v>
      </c>
      <c r="M26" s="42" t="s">
        <v>91</v>
      </c>
      <c r="N26" s="43"/>
    </row>
    <row r="27" spans="2:15" s="17" customFormat="1" ht="14.5" x14ac:dyDescent="0.35">
      <c r="B27" s="25">
        <v>24</v>
      </c>
      <c r="C27" s="44" t="s">
        <v>92</v>
      </c>
      <c r="D27" s="40" t="s">
        <v>93</v>
      </c>
      <c r="E27" s="28" t="s">
        <v>44</v>
      </c>
      <c r="F27" s="39" t="s">
        <v>45</v>
      </c>
      <c r="G27" s="41">
        <f>[1]C24!C37</f>
        <v>0</v>
      </c>
      <c r="H27" s="41">
        <f>[1]C24!D37</f>
        <v>0</v>
      </c>
      <c r="I27" s="41">
        <f>[1]C24!E37</f>
        <v>-6</v>
      </c>
      <c r="J27" s="41">
        <f>[1]C24!G37</f>
        <v>0</v>
      </c>
      <c r="K27" s="41">
        <f>[1]C24!H37</f>
        <v>-400</v>
      </c>
      <c r="L27" s="41">
        <f>[1]C24!I37</f>
        <v>-400</v>
      </c>
      <c r="M27" s="42" t="s">
        <v>94</v>
      </c>
      <c r="N27" s="43"/>
    </row>
    <row r="28" spans="2:15" s="17" customFormat="1" ht="14.5" x14ac:dyDescent="0.35">
      <c r="B28" s="25">
        <v>25</v>
      </c>
      <c r="C28" s="44" t="s">
        <v>95</v>
      </c>
      <c r="D28" s="39" t="s">
        <v>96</v>
      </c>
      <c r="E28" s="28" t="s">
        <v>97</v>
      </c>
      <c r="F28" s="39" t="s">
        <v>19</v>
      </c>
      <c r="G28" s="41">
        <f>[1]C25!C37</f>
        <v>0</v>
      </c>
      <c r="H28" s="41">
        <f>[1]C25!D37</f>
        <v>0</v>
      </c>
      <c r="I28" s="41">
        <f>[1]C25!E37</f>
        <v>-2</v>
      </c>
      <c r="J28" s="41">
        <f>[1]C25!G37</f>
        <v>0</v>
      </c>
      <c r="K28" s="41">
        <f>[1]C25!H37</f>
        <v>-480</v>
      </c>
      <c r="L28" s="41">
        <f>[1]C25!I37</f>
        <v>-480</v>
      </c>
      <c r="M28" s="42" t="s">
        <v>98</v>
      </c>
      <c r="N28" s="43"/>
    </row>
    <row r="29" spans="2:15" s="17" customFormat="1" ht="14.5" x14ac:dyDescent="0.35">
      <c r="B29" s="25">
        <v>26</v>
      </c>
      <c r="C29" s="44" t="s">
        <v>99</v>
      </c>
      <c r="D29" s="39" t="s">
        <v>100</v>
      </c>
      <c r="E29" s="28" t="s">
        <v>29</v>
      </c>
      <c r="F29" s="39" t="s">
        <v>45</v>
      </c>
      <c r="G29" s="41">
        <f>[1]C26!C37</f>
        <v>3</v>
      </c>
      <c r="H29" s="41">
        <f>[1]C26!D37</f>
        <v>3</v>
      </c>
      <c r="I29" s="41">
        <f>[1]C26!E37</f>
        <v>-4</v>
      </c>
      <c r="J29" s="41">
        <f>[1]C26!G37</f>
        <v>270</v>
      </c>
      <c r="K29" s="41">
        <f>[1]C26!H37</f>
        <v>0</v>
      </c>
      <c r="L29" s="41">
        <f>[1]C26!I37</f>
        <v>-270</v>
      </c>
      <c r="M29" s="42" t="s">
        <v>101</v>
      </c>
      <c r="N29" s="43"/>
    </row>
    <row r="30" spans="2:15" s="17" customFormat="1" ht="14.5" x14ac:dyDescent="0.35">
      <c r="B30" s="25">
        <v>27</v>
      </c>
      <c r="C30" s="44" t="s">
        <v>102</v>
      </c>
      <c r="D30" s="47" t="s">
        <v>103</v>
      </c>
      <c r="E30" s="28" t="s">
        <v>71</v>
      </c>
      <c r="F30" s="39" t="s">
        <v>19</v>
      </c>
      <c r="G30" s="41">
        <f>[1]C27!C37</f>
        <v>0</v>
      </c>
      <c r="H30" s="41">
        <f>[1]C27!D37</f>
        <v>0</v>
      </c>
      <c r="I30" s="41">
        <f>[1]C27!E37</f>
        <v>-3</v>
      </c>
      <c r="J30" s="41">
        <f>[1]C27!G37</f>
        <v>0</v>
      </c>
      <c r="K30" s="41">
        <f>[1]C27!H37</f>
        <v>-160</v>
      </c>
      <c r="L30" s="41">
        <f>[1]C27!I37</f>
        <v>-160</v>
      </c>
      <c r="M30" s="42" t="s">
        <v>104</v>
      </c>
      <c r="N30" s="43"/>
    </row>
    <row r="31" spans="2:15" s="17" customFormat="1" ht="14.5" x14ac:dyDescent="0.35">
      <c r="B31" s="25">
        <v>28</v>
      </c>
      <c r="C31" s="44" t="s">
        <v>105</v>
      </c>
      <c r="D31" s="40" t="s">
        <v>106</v>
      </c>
      <c r="E31" s="28" t="s">
        <v>44</v>
      </c>
      <c r="F31" s="39" t="s">
        <v>45</v>
      </c>
      <c r="G31" s="41">
        <f>[1]C28!C37</f>
        <v>0</v>
      </c>
      <c r="H31" s="41">
        <f>[1]C28!D37</f>
        <v>0</v>
      </c>
      <c r="I31" s="41">
        <f>[1]C28!E37</f>
        <v>-2</v>
      </c>
      <c r="J31" s="41">
        <f>[1]C28!G37</f>
        <v>0</v>
      </c>
      <c r="K31" s="41">
        <f>[1]C28!H37</f>
        <v>-400</v>
      </c>
      <c r="L31" s="41">
        <f>[1]C28!I37</f>
        <v>-400</v>
      </c>
      <c r="M31" s="48" t="s">
        <v>107</v>
      </c>
      <c r="N31" s="43"/>
    </row>
    <row r="32" spans="2:15" s="17" customFormat="1" ht="14.5" x14ac:dyDescent="0.35">
      <c r="B32" s="25">
        <v>29</v>
      </c>
      <c r="C32" s="44" t="s">
        <v>108</v>
      </c>
      <c r="D32" s="40" t="s">
        <v>109</v>
      </c>
      <c r="E32" s="28" t="s">
        <v>44</v>
      </c>
      <c r="F32" s="39" t="s">
        <v>45</v>
      </c>
      <c r="G32" s="41">
        <f>[1]C29!C37</f>
        <v>2</v>
      </c>
      <c r="H32" s="41">
        <f>[1]C29!D37</f>
        <v>2</v>
      </c>
      <c r="I32" s="41">
        <f>[1]C29!E37</f>
        <v>-3</v>
      </c>
      <c r="J32" s="41">
        <f>[1]C29!G37</f>
        <v>180</v>
      </c>
      <c r="K32" s="41">
        <f>[1]C29!H37</f>
        <v>0</v>
      </c>
      <c r="L32" s="41">
        <f>[1]C29!I37</f>
        <v>-180</v>
      </c>
      <c r="M32" s="30"/>
      <c r="N32" s="43"/>
    </row>
    <row r="33" spans="1:16" s="49" customFormat="1" ht="14.5" x14ac:dyDescent="0.35">
      <c r="A33" s="17"/>
      <c r="B33" s="25">
        <v>30</v>
      </c>
      <c r="C33" s="44" t="s">
        <v>110</v>
      </c>
      <c r="D33" s="39" t="s">
        <v>111</v>
      </c>
      <c r="E33" s="28" t="s">
        <v>29</v>
      </c>
      <c r="F33" s="39" t="s">
        <v>19</v>
      </c>
      <c r="G33" s="41">
        <f>[1]C30!C37</f>
        <v>2</v>
      </c>
      <c r="H33" s="41">
        <f>[1]C30!D37</f>
        <v>2</v>
      </c>
      <c r="I33" s="41">
        <f>[1]C30!E37</f>
        <v>-2</v>
      </c>
      <c r="J33" s="41">
        <f>[1]C30!G37</f>
        <v>180</v>
      </c>
      <c r="K33" s="41">
        <f>[1]C30!H37</f>
        <v>-1200</v>
      </c>
      <c r="L33" s="41">
        <f>[1]C30!I37</f>
        <v>-1380</v>
      </c>
      <c r="M33" s="42"/>
      <c r="N33" s="43"/>
      <c r="O33" s="17"/>
      <c r="P33" s="17"/>
    </row>
    <row r="34" spans="1:16" s="17" customFormat="1" ht="14.5" x14ac:dyDescent="0.35">
      <c r="B34" s="50">
        <v>31</v>
      </c>
      <c r="C34" s="44" t="s">
        <v>112</v>
      </c>
      <c r="D34" s="39" t="s">
        <v>113</v>
      </c>
      <c r="E34" s="28" t="s">
        <v>29</v>
      </c>
      <c r="F34" s="39" t="s">
        <v>50</v>
      </c>
      <c r="G34" s="41">
        <f>[1]C31!C37</f>
        <v>2</v>
      </c>
      <c r="H34" s="41">
        <f>[1]C31!D37</f>
        <v>2</v>
      </c>
      <c r="I34" s="41">
        <f>[1]C31!E37</f>
        <v>-2</v>
      </c>
      <c r="J34" s="41">
        <f>[1]C31!G37</f>
        <v>180</v>
      </c>
      <c r="K34" s="41">
        <f>[1]C31!H37</f>
        <v>-6340</v>
      </c>
      <c r="L34" s="41">
        <f>[1]C31!I37</f>
        <v>-6520</v>
      </c>
      <c r="M34" s="42" t="s">
        <v>114</v>
      </c>
      <c r="N34" s="43"/>
    </row>
    <row r="35" spans="1:16" s="17" customFormat="1" ht="14.5" x14ac:dyDescent="0.35">
      <c r="B35" s="25">
        <v>32</v>
      </c>
      <c r="C35" s="44" t="s">
        <v>115</v>
      </c>
      <c r="D35" s="40" t="s">
        <v>116</v>
      </c>
      <c r="E35" s="28" t="s">
        <v>44</v>
      </c>
      <c r="F35" s="39" t="s">
        <v>45</v>
      </c>
      <c r="G35" s="41">
        <f>[1]C32!C37</f>
        <v>3</v>
      </c>
      <c r="H35" s="41">
        <f>[1]C32!D37</f>
        <v>3</v>
      </c>
      <c r="I35" s="41">
        <f>[1]C32!E37</f>
        <v>-2</v>
      </c>
      <c r="J35" s="41">
        <f>[1]C32!G37</f>
        <v>270</v>
      </c>
      <c r="K35" s="41">
        <f>[1]C32!H37</f>
        <v>240</v>
      </c>
      <c r="L35" s="41">
        <f>[1]C32!I37</f>
        <v>-30</v>
      </c>
      <c r="M35" s="42" t="s">
        <v>117</v>
      </c>
      <c r="N35" s="43"/>
    </row>
    <row r="36" spans="1:16" s="17" customFormat="1" ht="14.5" x14ac:dyDescent="0.35">
      <c r="B36" s="25">
        <v>33</v>
      </c>
      <c r="C36" s="44" t="s">
        <v>118</v>
      </c>
      <c r="D36" s="39" t="s">
        <v>119</v>
      </c>
      <c r="E36" s="28" t="s">
        <v>29</v>
      </c>
      <c r="F36" s="39" t="s">
        <v>45</v>
      </c>
      <c r="G36" s="41">
        <f>[1]C33!C37</f>
        <v>2</v>
      </c>
      <c r="H36" s="41">
        <f>[1]C33!D37</f>
        <v>2</v>
      </c>
      <c r="I36" s="41">
        <f>[1]C33!E37</f>
        <v>-3</v>
      </c>
      <c r="J36" s="41">
        <f>[1]C33!G37</f>
        <v>180</v>
      </c>
      <c r="K36" s="41">
        <f>[1]C33!H37</f>
        <v>-1360</v>
      </c>
      <c r="L36" s="41">
        <f>[1]C33!I37</f>
        <v>-1540</v>
      </c>
      <c r="M36" s="42" t="s">
        <v>120</v>
      </c>
      <c r="N36" s="43"/>
    </row>
    <row r="37" spans="1:16" s="17" customFormat="1" ht="14.5" x14ac:dyDescent="0.35">
      <c r="B37" s="25">
        <v>34</v>
      </c>
      <c r="C37" s="44" t="s">
        <v>121</v>
      </c>
      <c r="D37" s="40" t="s">
        <v>122</v>
      </c>
      <c r="E37" s="28" t="s">
        <v>44</v>
      </c>
      <c r="F37" s="39" t="s">
        <v>45</v>
      </c>
      <c r="G37" s="41">
        <f>[1]C34!C37</f>
        <v>1</v>
      </c>
      <c r="H37" s="41">
        <f>[1]C34!D37</f>
        <v>1</v>
      </c>
      <c r="I37" s="41">
        <f>[1]C34!E37</f>
        <v>-3</v>
      </c>
      <c r="J37" s="41">
        <f>[1]C34!G37</f>
        <v>90</v>
      </c>
      <c r="K37" s="41">
        <f>[1]C34!H37</f>
        <v>-560</v>
      </c>
      <c r="L37" s="41">
        <f>[1]C34!I37</f>
        <v>-650</v>
      </c>
      <c r="M37" s="42" t="s">
        <v>123</v>
      </c>
      <c r="N37" s="43"/>
    </row>
    <row r="38" spans="1:16" s="17" customFormat="1" ht="14.5" x14ac:dyDescent="0.35">
      <c r="B38" s="50">
        <v>35</v>
      </c>
      <c r="C38" s="44" t="s">
        <v>124</v>
      </c>
      <c r="D38" s="39" t="s">
        <v>125</v>
      </c>
      <c r="E38" s="28" t="s">
        <v>29</v>
      </c>
      <c r="F38" s="39" t="s">
        <v>50</v>
      </c>
      <c r="G38" s="41">
        <f>[1]C35!C37</f>
        <v>1</v>
      </c>
      <c r="H38" s="41">
        <f>[1]C35!D37</f>
        <v>1</v>
      </c>
      <c r="I38" s="41">
        <f>[1]C35!E37</f>
        <v>-2</v>
      </c>
      <c r="J38" s="41">
        <f>[1]C35!G37</f>
        <v>90</v>
      </c>
      <c r="K38" s="41">
        <f>[1]C35!H37</f>
        <v>-70</v>
      </c>
      <c r="L38" s="41">
        <f>[1]C35!I37</f>
        <v>-160</v>
      </c>
      <c r="M38" s="42" t="s">
        <v>126</v>
      </c>
      <c r="N38" s="43"/>
    </row>
    <row r="39" spans="1:16" s="49" customFormat="1" ht="14.5" x14ac:dyDescent="0.35">
      <c r="A39" s="17"/>
      <c r="B39" s="25">
        <v>36</v>
      </c>
      <c r="C39" s="44" t="s">
        <v>127</v>
      </c>
      <c r="D39" s="39" t="s">
        <v>128</v>
      </c>
      <c r="E39" s="28" t="s">
        <v>29</v>
      </c>
      <c r="F39" s="39" t="s">
        <v>19</v>
      </c>
      <c r="G39" s="41">
        <f>[1]C36!C37</f>
        <v>2</v>
      </c>
      <c r="H39" s="41">
        <f>[1]C36!D37</f>
        <v>2</v>
      </c>
      <c r="I39" s="41">
        <f>[1]C36!E37</f>
        <v>-2</v>
      </c>
      <c r="J39" s="41">
        <f>[1]C36!G37</f>
        <v>180</v>
      </c>
      <c r="K39" s="41">
        <f>[1]C36!H37</f>
        <v>580</v>
      </c>
      <c r="L39" s="41">
        <f>[1]C36!I37</f>
        <v>400</v>
      </c>
      <c r="M39" s="42" t="s">
        <v>129</v>
      </c>
      <c r="N39" s="43"/>
      <c r="O39" s="17"/>
      <c r="P39" s="17"/>
    </row>
    <row r="40" spans="1:16" s="17" customFormat="1" ht="14.5" x14ac:dyDescent="0.35">
      <c r="B40" s="25">
        <v>37</v>
      </c>
      <c r="C40" s="44" t="s">
        <v>130</v>
      </c>
      <c r="D40" s="40" t="s">
        <v>131</v>
      </c>
      <c r="E40" s="28" t="s">
        <v>44</v>
      </c>
      <c r="F40" s="39" t="s">
        <v>45</v>
      </c>
      <c r="G40" s="41">
        <f>[1]C37!C37</f>
        <v>2</v>
      </c>
      <c r="H40" s="41">
        <f>[1]C37!D37</f>
        <v>2</v>
      </c>
      <c r="I40" s="41">
        <f>[1]C37!E37</f>
        <v>-2</v>
      </c>
      <c r="J40" s="41">
        <f>[1]C37!G37</f>
        <v>180</v>
      </c>
      <c r="K40" s="41">
        <f>[1]C37!H37</f>
        <v>0</v>
      </c>
      <c r="L40" s="41">
        <f>[1]C37!I37</f>
        <v>-180</v>
      </c>
      <c r="M40" s="45" t="s">
        <v>132</v>
      </c>
      <c r="N40" s="43"/>
    </row>
    <row r="41" spans="1:16" s="51" customFormat="1" ht="14.5" x14ac:dyDescent="0.35">
      <c r="A41" s="17"/>
      <c r="B41" s="25">
        <v>38</v>
      </c>
      <c r="C41" s="44" t="s">
        <v>133</v>
      </c>
      <c r="D41" s="39" t="s">
        <v>134</v>
      </c>
      <c r="E41" s="28" t="s">
        <v>29</v>
      </c>
      <c r="F41" s="39" t="s">
        <v>19</v>
      </c>
      <c r="G41" s="41">
        <f>[1]C38!C37</f>
        <v>1</v>
      </c>
      <c r="H41" s="41">
        <f>[1]C38!D37</f>
        <v>1</v>
      </c>
      <c r="I41" s="41">
        <f>[1]C38!E37</f>
        <v>-2</v>
      </c>
      <c r="J41" s="41">
        <f>[1]C38!G37</f>
        <v>90</v>
      </c>
      <c r="K41" s="41">
        <f>[1]C38!H37</f>
        <v>0</v>
      </c>
      <c r="L41" s="41">
        <f>[1]C38!I37</f>
        <v>-90</v>
      </c>
      <c r="M41" s="42" t="s">
        <v>135</v>
      </c>
      <c r="N41" s="43"/>
      <c r="O41" s="17"/>
      <c r="P41" s="17"/>
    </row>
    <row r="42" spans="1:16" s="17" customFormat="1" ht="14.5" x14ac:dyDescent="0.35">
      <c r="B42" s="50">
        <v>39</v>
      </c>
      <c r="C42" s="44" t="s">
        <v>136</v>
      </c>
      <c r="D42" s="47" t="s">
        <v>137</v>
      </c>
      <c r="E42" s="28" t="s">
        <v>71</v>
      </c>
      <c r="F42" s="39" t="s">
        <v>19</v>
      </c>
      <c r="G42" s="41">
        <f>[1]C39!C37</f>
        <v>0</v>
      </c>
      <c r="H42" s="41">
        <f>[1]C39!D37</f>
        <v>0</v>
      </c>
      <c r="I42" s="41">
        <f>[1]C39!E37</f>
        <v>-2</v>
      </c>
      <c r="J42" s="41">
        <f>[1]C39!G37</f>
        <v>0</v>
      </c>
      <c r="K42" s="41">
        <f>[1]C39!H37</f>
        <v>-640</v>
      </c>
      <c r="L42" s="41">
        <f>[1]C39!I37</f>
        <v>-640</v>
      </c>
      <c r="M42" s="42" t="s">
        <v>138</v>
      </c>
      <c r="N42" s="43"/>
    </row>
    <row r="43" spans="1:16" s="17" customFormat="1" ht="14.5" x14ac:dyDescent="0.35">
      <c r="B43" s="50">
        <v>40</v>
      </c>
      <c r="C43" s="44" t="s">
        <v>139</v>
      </c>
      <c r="D43" s="39" t="s">
        <v>140</v>
      </c>
      <c r="E43" s="28" t="s">
        <v>29</v>
      </c>
      <c r="F43" s="39" t="s">
        <v>50</v>
      </c>
      <c r="G43" s="41">
        <f>[1]C40!C37</f>
        <v>1</v>
      </c>
      <c r="H43" s="41">
        <f>[1]C40!D37</f>
        <v>1</v>
      </c>
      <c r="I43" s="41">
        <f>[1]C40!E37</f>
        <v>-2</v>
      </c>
      <c r="J43" s="41">
        <f>[1]C40!G37</f>
        <v>90</v>
      </c>
      <c r="K43" s="41">
        <f>[1]C40!H37</f>
        <v>0</v>
      </c>
      <c r="L43" s="41">
        <f>[1]C40!I37</f>
        <v>-90</v>
      </c>
      <c r="M43" s="42" t="s">
        <v>141</v>
      </c>
      <c r="N43" s="43"/>
    </row>
    <row r="44" spans="1:16" s="17" customFormat="1" ht="14.5" x14ac:dyDescent="0.35">
      <c r="B44" s="50">
        <v>41</v>
      </c>
      <c r="C44" s="44" t="s">
        <v>142</v>
      </c>
      <c r="D44" s="39" t="s">
        <v>143</v>
      </c>
      <c r="E44" s="28" t="s">
        <v>29</v>
      </c>
      <c r="F44" s="39" t="s">
        <v>19</v>
      </c>
      <c r="G44" s="41">
        <f>[1]C41!C37</f>
        <v>1</v>
      </c>
      <c r="H44" s="41">
        <f>[1]C41!D37</f>
        <v>1</v>
      </c>
      <c r="I44" s="41">
        <f>[1]C41!E37</f>
        <v>-2</v>
      </c>
      <c r="J44" s="41">
        <f>[1]C41!G37</f>
        <v>90</v>
      </c>
      <c r="K44" s="41">
        <f>[1]C41!H37</f>
        <v>-880</v>
      </c>
      <c r="L44" s="41">
        <f>[1]C41!I37</f>
        <v>-970</v>
      </c>
      <c r="M44" s="45" t="s">
        <v>144</v>
      </c>
      <c r="N44" s="43"/>
    </row>
    <row r="45" spans="1:16" s="17" customFormat="1" ht="14.5" x14ac:dyDescent="0.35">
      <c r="B45" s="50">
        <v>42</v>
      </c>
      <c r="C45" s="44" t="s">
        <v>145</v>
      </c>
      <c r="D45" s="39" t="s">
        <v>146</v>
      </c>
      <c r="E45" s="28" t="s">
        <v>29</v>
      </c>
      <c r="F45" s="39" t="s">
        <v>19</v>
      </c>
      <c r="G45" s="41">
        <f>[1]C42!C37</f>
        <v>1</v>
      </c>
      <c r="H45" s="41">
        <f>[1]C42!D37</f>
        <v>1</v>
      </c>
      <c r="I45" s="41">
        <f>[1]C42!E37</f>
        <v>-2</v>
      </c>
      <c r="J45" s="41">
        <f>[1]C42!G37</f>
        <v>90</v>
      </c>
      <c r="K45" s="41">
        <f>[1]C42!H37</f>
        <v>-720</v>
      </c>
      <c r="L45" s="41">
        <f>[1]C42!I37</f>
        <v>-810</v>
      </c>
      <c r="M45" s="42" t="s">
        <v>147</v>
      </c>
      <c r="N45" s="43"/>
    </row>
    <row r="46" spans="1:16" s="17" customFormat="1" ht="14.5" x14ac:dyDescent="0.35">
      <c r="B46" s="50">
        <v>43</v>
      </c>
      <c r="C46" s="44" t="s">
        <v>148</v>
      </c>
      <c r="D46" s="39" t="s">
        <v>149</v>
      </c>
      <c r="E46" s="28" t="s">
        <v>29</v>
      </c>
      <c r="F46" s="39" t="s">
        <v>50</v>
      </c>
      <c r="G46" s="41">
        <f>[1]C43!C37</f>
        <v>1</v>
      </c>
      <c r="H46" s="41">
        <f>[1]C43!D37</f>
        <v>1</v>
      </c>
      <c r="I46" s="41">
        <f>[1]C43!E37</f>
        <v>-1</v>
      </c>
      <c r="J46" s="41">
        <f>[1]C43!G37</f>
        <v>90</v>
      </c>
      <c r="K46" s="41">
        <f>[1]C43!H37</f>
        <v>-160</v>
      </c>
      <c r="L46" s="41">
        <f>[1]C43!I37</f>
        <v>-250</v>
      </c>
      <c r="M46" s="45" t="s">
        <v>150</v>
      </c>
      <c r="N46" s="43"/>
    </row>
    <row r="47" spans="1:16" s="17" customFormat="1" ht="14.5" x14ac:dyDescent="0.35">
      <c r="B47" s="50">
        <v>44</v>
      </c>
      <c r="C47" s="44" t="s">
        <v>151</v>
      </c>
      <c r="D47" s="39" t="s">
        <v>152</v>
      </c>
      <c r="E47" s="28" t="s">
        <v>71</v>
      </c>
      <c r="F47" s="39" t="s">
        <v>19</v>
      </c>
      <c r="G47" s="41">
        <f>[1]C44!C37</f>
        <v>1</v>
      </c>
      <c r="H47" s="41">
        <f>[1]C44!D37</f>
        <v>1</v>
      </c>
      <c r="I47" s="41">
        <f>[1]C44!E37</f>
        <v>-3</v>
      </c>
      <c r="J47" s="41">
        <f>[1]C44!G37</f>
        <v>90</v>
      </c>
      <c r="K47" s="41">
        <f>[1]C44!H37</f>
        <v>0</v>
      </c>
      <c r="L47" s="41">
        <f>[1]C44!I37</f>
        <v>-90</v>
      </c>
      <c r="M47" s="42"/>
      <c r="N47" s="43"/>
    </row>
    <row r="48" spans="1:16" s="17" customFormat="1" ht="14.5" x14ac:dyDescent="0.35">
      <c r="B48" s="25">
        <v>45</v>
      </c>
      <c r="C48" s="44" t="s">
        <v>153</v>
      </c>
      <c r="D48" s="39" t="s">
        <v>154</v>
      </c>
      <c r="E48" s="28" t="s">
        <v>29</v>
      </c>
      <c r="F48" s="39" t="s">
        <v>50</v>
      </c>
      <c r="G48" s="41">
        <f>[1]C45!C37</f>
        <v>1</v>
      </c>
      <c r="H48" s="41">
        <f>[1]C45!D37</f>
        <v>1</v>
      </c>
      <c r="I48" s="41">
        <f>[1]C45!E37</f>
        <v>-2</v>
      </c>
      <c r="J48" s="41">
        <f>[1]C45!G37</f>
        <v>90</v>
      </c>
      <c r="K48" s="41">
        <f>[1]C45!H37</f>
        <v>0</v>
      </c>
      <c r="L48" s="41">
        <f>[1]C45!I37</f>
        <v>-90</v>
      </c>
      <c r="M48" s="42"/>
      <c r="N48" s="43"/>
    </row>
    <row r="49" spans="1:16" s="17" customFormat="1" ht="14.5" x14ac:dyDescent="0.35">
      <c r="B49" s="50">
        <v>46</v>
      </c>
      <c r="C49" s="44" t="s">
        <v>155</v>
      </c>
      <c r="D49" s="39" t="s">
        <v>156</v>
      </c>
      <c r="E49" s="28" t="s">
        <v>18</v>
      </c>
      <c r="F49" s="39" t="s">
        <v>19</v>
      </c>
      <c r="G49" s="41">
        <f>[1]C46!C37</f>
        <v>2</v>
      </c>
      <c r="H49" s="41">
        <f>[1]C46!D37</f>
        <v>2</v>
      </c>
      <c r="I49" s="41">
        <f>[1]C46!E37</f>
        <v>-4</v>
      </c>
      <c r="J49" s="41">
        <f>[1]C46!G37</f>
        <v>180</v>
      </c>
      <c r="K49" s="41">
        <f>[1]C46!H37</f>
        <v>-1200</v>
      </c>
      <c r="L49" s="41">
        <f>[1]C46!I37</f>
        <v>-1380</v>
      </c>
      <c r="M49" s="45" t="s">
        <v>157</v>
      </c>
      <c r="N49" s="43"/>
    </row>
    <row r="50" spans="1:16" s="17" customFormat="1" ht="14.5" x14ac:dyDescent="0.35">
      <c r="B50" s="50">
        <v>47</v>
      </c>
      <c r="C50" s="44" t="s">
        <v>158</v>
      </c>
      <c r="D50" s="40" t="s">
        <v>159</v>
      </c>
      <c r="E50" s="28" t="s">
        <v>32</v>
      </c>
      <c r="F50" s="39" t="s">
        <v>19</v>
      </c>
      <c r="G50" s="41">
        <f>[1]C47!C37</f>
        <v>1</v>
      </c>
      <c r="H50" s="41">
        <f>[1]C47!D37</f>
        <v>1</v>
      </c>
      <c r="I50" s="41">
        <f>[1]C47!E37</f>
        <v>-2</v>
      </c>
      <c r="J50" s="41">
        <f>[1]C47!G37</f>
        <v>90</v>
      </c>
      <c r="K50" s="41">
        <f>[1]C47!H37</f>
        <v>-1510</v>
      </c>
      <c r="L50" s="41">
        <f>[1]C47!I37</f>
        <v>-1600</v>
      </c>
      <c r="M50" s="45" t="s">
        <v>160</v>
      </c>
      <c r="N50" s="43"/>
    </row>
    <row r="51" spans="1:16" s="17" customFormat="1" ht="14.5" x14ac:dyDescent="0.35">
      <c r="B51" s="50">
        <v>48</v>
      </c>
      <c r="C51" s="44" t="s">
        <v>161</v>
      </c>
      <c r="D51" s="39" t="s">
        <v>162</v>
      </c>
      <c r="E51" s="28" t="s">
        <v>29</v>
      </c>
      <c r="F51" s="39" t="s">
        <v>45</v>
      </c>
      <c r="G51" s="41">
        <f>[1]C48!C37</f>
        <v>3</v>
      </c>
      <c r="H51" s="41">
        <f>[1]C48!D37</f>
        <v>3</v>
      </c>
      <c r="I51" s="41">
        <f>[1]C48!E37</f>
        <v>-3</v>
      </c>
      <c r="J51" s="41">
        <f>[1]C48!G37</f>
        <v>270</v>
      </c>
      <c r="K51" s="41">
        <f>[1]C48!H37</f>
        <v>-1680</v>
      </c>
      <c r="L51" s="41">
        <f>[1]C48!I37</f>
        <v>-1950</v>
      </c>
      <c r="M51" s="45"/>
      <c r="N51" s="43"/>
    </row>
    <row r="52" spans="1:16" s="17" customFormat="1" ht="14.5" x14ac:dyDescent="0.35">
      <c r="B52" s="50">
        <v>49</v>
      </c>
      <c r="C52" s="44" t="s">
        <v>163</v>
      </c>
      <c r="D52" s="39" t="s">
        <v>164</v>
      </c>
      <c r="E52" s="28" t="s">
        <v>29</v>
      </c>
      <c r="F52" s="39" t="s">
        <v>165</v>
      </c>
      <c r="G52" s="41">
        <f>[1]C49!C37</f>
        <v>2</v>
      </c>
      <c r="H52" s="41">
        <f>[1]C49!D37</f>
        <v>2</v>
      </c>
      <c r="I52" s="41">
        <f>[1]C49!E37</f>
        <v>-3</v>
      </c>
      <c r="J52" s="41">
        <f>[1]C49!G37</f>
        <v>180</v>
      </c>
      <c r="K52" s="41">
        <f>[1]C49!H37</f>
        <v>0</v>
      </c>
      <c r="L52" s="41">
        <f>[1]C49!I37</f>
        <v>-180</v>
      </c>
      <c r="M52" s="45" t="s">
        <v>166</v>
      </c>
      <c r="N52" s="43"/>
    </row>
    <row r="53" spans="1:16" s="17" customFormat="1" ht="14.5" x14ac:dyDescent="0.35">
      <c r="B53" s="50">
        <v>50</v>
      </c>
      <c r="C53" s="44" t="s">
        <v>167</v>
      </c>
      <c r="D53" s="40" t="s">
        <v>168</v>
      </c>
      <c r="E53" s="28" t="s">
        <v>32</v>
      </c>
      <c r="F53" s="39" t="s">
        <v>50</v>
      </c>
      <c r="G53" s="41">
        <f>[1]C50!C37</f>
        <v>2</v>
      </c>
      <c r="H53" s="41">
        <f>[1]C50!D37</f>
        <v>2</v>
      </c>
      <c r="I53" s="41">
        <f>[1]C50!E37</f>
        <v>-3</v>
      </c>
      <c r="J53" s="41">
        <f>[1]C50!G37</f>
        <v>180</v>
      </c>
      <c r="K53" s="41">
        <f>[1]C50!H37</f>
        <v>-1920</v>
      </c>
      <c r="L53" s="41">
        <f>[1]C50!I37</f>
        <v>-2100</v>
      </c>
      <c r="M53" s="45" t="s">
        <v>169</v>
      </c>
      <c r="N53" s="43"/>
    </row>
    <row r="54" spans="1:16" s="49" customFormat="1" ht="14.5" x14ac:dyDescent="0.35">
      <c r="A54" s="17"/>
      <c r="B54" s="50">
        <v>51</v>
      </c>
      <c r="C54" s="44" t="s">
        <v>170</v>
      </c>
      <c r="D54" s="39" t="s">
        <v>171</v>
      </c>
      <c r="E54" s="28" t="s">
        <v>29</v>
      </c>
      <c r="F54" s="39" t="s">
        <v>19</v>
      </c>
      <c r="G54" s="41">
        <f>[1]C51!C37</f>
        <v>2</v>
      </c>
      <c r="H54" s="41">
        <f>[1]C51!D37</f>
        <v>2</v>
      </c>
      <c r="I54" s="41">
        <f>[1]C51!E37</f>
        <v>-2</v>
      </c>
      <c r="J54" s="41">
        <f>[1]C51!G37</f>
        <v>180</v>
      </c>
      <c r="K54" s="41">
        <f>[1]C51!H37</f>
        <v>-480</v>
      </c>
      <c r="L54" s="41">
        <f>[1]C51!I37</f>
        <v>-660</v>
      </c>
      <c r="M54" s="45"/>
      <c r="N54" s="43"/>
      <c r="O54" s="17"/>
      <c r="P54" s="17"/>
    </row>
    <row r="55" spans="1:16" s="17" customFormat="1" ht="14.5" x14ac:dyDescent="0.35">
      <c r="B55" s="50">
        <v>52</v>
      </c>
      <c r="C55" s="44" t="s">
        <v>172</v>
      </c>
      <c r="D55" s="39" t="s">
        <v>173</v>
      </c>
      <c r="E55" s="28" t="s">
        <v>29</v>
      </c>
      <c r="F55" s="39" t="s">
        <v>19</v>
      </c>
      <c r="G55" s="41">
        <f>[1]C52!C37</f>
        <v>1</v>
      </c>
      <c r="H55" s="41">
        <f>[1]C52!D37</f>
        <v>0</v>
      </c>
      <c r="I55" s="41">
        <f>[1]C52!E37</f>
        <v>-1</v>
      </c>
      <c r="J55" s="41">
        <f>[1]C52!G37</f>
        <v>90</v>
      </c>
      <c r="K55" s="41">
        <f>[1]C52!H37</f>
        <v>90</v>
      </c>
      <c r="L55" s="41">
        <f>[1]C52!I37</f>
        <v>0</v>
      </c>
      <c r="M55" s="45" t="s">
        <v>174</v>
      </c>
      <c r="N55" s="43"/>
    </row>
    <row r="56" spans="1:16" s="17" customFormat="1" ht="14.5" x14ac:dyDescent="0.35">
      <c r="B56" s="50">
        <v>53</v>
      </c>
      <c r="C56" s="44" t="s">
        <v>175</v>
      </c>
      <c r="D56" s="52" t="s">
        <v>176</v>
      </c>
      <c r="E56" s="28" t="s">
        <v>18</v>
      </c>
      <c r="F56" s="39" t="s">
        <v>19</v>
      </c>
      <c r="G56" s="41">
        <f>[1]C53!C37</f>
        <v>0</v>
      </c>
      <c r="H56" s="41">
        <f>[1]C53!D37</f>
        <v>0</v>
      </c>
      <c r="I56" s="41">
        <f>[1]C53!E37</f>
        <v>-1</v>
      </c>
      <c r="J56" s="41">
        <f>[1]C53!G37</f>
        <v>0</v>
      </c>
      <c r="K56" s="41">
        <f>[1]C53!H37</f>
        <v>-800</v>
      </c>
      <c r="L56" s="41">
        <f>[1]C53!I37</f>
        <v>-800</v>
      </c>
      <c r="M56" s="45" t="s">
        <v>177</v>
      </c>
      <c r="N56" s="43"/>
    </row>
    <row r="57" spans="1:16" s="17" customFormat="1" ht="14.5" x14ac:dyDescent="0.35">
      <c r="B57" s="50">
        <v>54</v>
      </c>
      <c r="C57" s="44" t="s">
        <v>178</v>
      </c>
      <c r="D57" s="39" t="s">
        <v>179</v>
      </c>
      <c r="E57" s="28" t="s">
        <v>180</v>
      </c>
      <c r="F57" s="39" t="s">
        <v>19</v>
      </c>
      <c r="G57" s="41">
        <f>[1]C54!C37</f>
        <v>2</v>
      </c>
      <c r="H57" s="41">
        <f>[1]C54!D37</f>
        <v>2</v>
      </c>
      <c r="I57" s="41">
        <f>[1]C54!E37</f>
        <v>-2</v>
      </c>
      <c r="J57" s="41">
        <f>[1]C54!G37</f>
        <v>180</v>
      </c>
      <c r="K57" s="41">
        <f>[1]C54!H37</f>
        <v>-560</v>
      </c>
      <c r="L57" s="41">
        <f>[1]C54!I37</f>
        <v>-740</v>
      </c>
      <c r="M57" s="45" t="s">
        <v>181</v>
      </c>
      <c r="N57" s="43"/>
    </row>
    <row r="58" spans="1:16" s="17" customFormat="1" ht="14.5" x14ac:dyDescent="0.35">
      <c r="B58" s="50">
        <v>55</v>
      </c>
      <c r="C58" s="44" t="s">
        <v>182</v>
      </c>
      <c r="D58" s="40" t="s">
        <v>183</v>
      </c>
      <c r="E58" s="28" t="s">
        <v>32</v>
      </c>
      <c r="F58" s="39" t="s">
        <v>19</v>
      </c>
      <c r="G58" s="41">
        <f>[1]C55!C37</f>
        <v>1</v>
      </c>
      <c r="H58" s="41">
        <f>[1]C55!D37</f>
        <v>1</v>
      </c>
      <c r="I58" s="41">
        <f>[1]C55!E37</f>
        <v>-2</v>
      </c>
      <c r="J58" s="41">
        <f>[1]C55!G37</f>
        <v>90</v>
      </c>
      <c r="K58" s="41">
        <f>[1]C55!H37</f>
        <v>-2420</v>
      </c>
      <c r="L58" s="41">
        <f>[1]C55!I37</f>
        <v>-2510</v>
      </c>
      <c r="M58" s="45"/>
      <c r="N58" s="43"/>
    </row>
    <row r="59" spans="1:16" s="17" customFormat="1" ht="14.5" x14ac:dyDescent="0.35">
      <c r="B59" s="50">
        <v>56</v>
      </c>
      <c r="C59" s="44" t="s">
        <v>184</v>
      </c>
      <c r="D59" s="40" t="s">
        <v>185</v>
      </c>
      <c r="E59" s="28" t="s">
        <v>44</v>
      </c>
      <c r="F59" s="39" t="s">
        <v>19</v>
      </c>
      <c r="G59" s="41">
        <f>[1]C56!C37</f>
        <v>0</v>
      </c>
      <c r="H59" s="41">
        <f>[1]C56!D37</f>
        <v>0</v>
      </c>
      <c r="I59" s="41">
        <f>[1]C56!E37</f>
        <v>-2</v>
      </c>
      <c r="J59" s="41">
        <f>[1]C56!G37</f>
        <v>0</v>
      </c>
      <c r="K59" s="41">
        <f>[1]C56!H37</f>
        <v>-560</v>
      </c>
      <c r="L59" s="41">
        <f>[1]C56!I37</f>
        <v>-560</v>
      </c>
      <c r="M59" s="45"/>
      <c r="N59" s="43"/>
    </row>
    <row r="60" spans="1:16" s="17" customFormat="1" ht="14.5" x14ac:dyDescent="0.35">
      <c r="B60" s="50">
        <v>57</v>
      </c>
      <c r="C60" s="44" t="s">
        <v>186</v>
      </c>
      <c r="D60" s="40" t="s">
        <v>187</v>
      </c>
      <c r="E60" s="28" t="s">
        <v>32</v>
      </c>
      <c r="F60" s="39" t="s">
        <v>19</v>
      </c>
      <c r="G60" s="41">
        <f>[1]C57!C37</f>
        <v>2</v>
      </c>
      <c r="H60" s="41">
        <f>[1]C57!D37</f>
        <v>2</v>
      </c>
      <c r="I60" s="41">
        <f>[1]C57!E37</f>
        <v>-2</v>
      </c>
      <c r="J60" s="41">
        <f>[1]C57!G37</f>
        <v>180</v>
      </c>
      <c r="K60" s="41">
        <f>[1]C57!H37</f>
        <v>-2400</v>
      </c>
      <c r="L60" s="41">
        <f>[1]C57!I37</f>
        <v>-2580</v>
      </c>
      <c r="M60" s="45" t="s">
        <v>188</v>
      </c>
      <c r="N60" s="43"/>
    </row>
    <row r="61" spans="1:16" s="17" customFormat="1" ht="14.5" x14ac:dyDescent="0.35">
      <c r="B61" s="50">
        <v>58</v>
      </c>
      <c r="C61" s="44" t="s">
        <v>189</v>
      </c>
      <c r="D61" s="52" t="s">
        <v>190</v>
      </c>
      <c r="E61" s="28" t="s">
        <v>29</v>
      </c>
      <c r="F61" s="39" t="s">
        <v>19</v>
      </c>
      <c r="G61" s="41">
        <f>[1]C58!C37</f>
        <v>0</v>
      </c>
      <c r="H61" s="41">
        <f>[1]C58!D37</f>
        <v>0</v>
      </c>
      <c r="I61" s="41">
        <f>[1]C58!E37</f>
        <v>-1</v>
      </c>
      <c r="J61" s="41">
        <f>[1]C58!G37</f>
        <v>0</v>
      </c>
      <c r="K61" s="41">
        <f>[1]C58!H37</f>
        <v>-480</v>
      </c>
      <c r="L61" s="41">
        <f>[1]C58!I37</f>
        <v>-480</v>
      </c>
      <c r="M61" s="45" t="s">
        <v>191</v>
      </c>
      <c r="N61" s="43"/>
    </row>
    <row r="62" spans="1:16" s="17" customFormat="1" ht="14.5" x14ac:dyDescent="0.35">
      <c r="B62" s="50">
        <v>59</v>
      </c>
      <c r="C62" s="44" t="s">
        <v>192</v>
      </c>
      <c r="D62" s="52" t="s">
        <v>193</v>
      </c>
      <c r="E62" s="28" t="s">
        <v>29</v>
      </c>
      <c r="F62" s="39" t="s">
        <v>50</v>
      </c>
      <c r="G62" s="41">
        <f>[1]C59!C37</f>
        <v>1</v>
      </c>
      <c r="H62" s="41">
        <f>[1]C59!D37</f>
        <v>1</v>
      </c>
      <c r="I62" s="41">
        <f>[1]C59!E37</f>
        <v>-1</v>
      </c>
      <c r="J62" s="41">
        <f>[1]C59!G37</f>
        <v>90</v>
      </c>
      <c r="K62" s="41">
        <f>[1]C59!H37</f>
        <v>-80</v>
      </c>
      <c r="L62" s="41">
        <f>[1]C59!I37</f>
        <v>-170</v>
      </c>
      <c r="M62" s="45" t="s">
        <v>194</v>
      </c>
      <c r="N62" s="43"/>
    </row>
    <row r="63" spans="1:16" s="17" customFormat="1" ht="14.5" x14ac:dyDescent="0.35">
      <c r="B63" s="50">
        <v>60</v>
      </c>
      <c r="C63" s="44" t="s">
        <v>195</v>
      </c>
      <c r="D63" s="39" t="s">
        <v>196</v>
      </c>
      <c r="E63" s="28" t="s">
        <v>29</v>
      </c>
      <c r="F63" s="39" t="s">
        <v>19</v>
      </c>
      <c r="G63" s="41">
        <f>[1]C60!C37</f>
        <v>2</v>
      </c>
      <c r="H63" s="41">
        <f>[1]C60!D37</f>
        <v>2</v>
      </c>
      <c r="I63" s="41">
        <f>[1]C60!E37</f>
        <v>-2</v>
      </c>
      <c r="J63" s="41">
        <f>[1]C60!G37</f>
        <v>180</v>
      </c>
      <c r="K63" s="41">
        <f>[1]C60!H37</f>
        <v>-1360</v>
      </c>
      <c r="L63" s="41">
        <f>[1]C60!I37</f>
        <v>-1540</v>
      </c>
      <c r="M63" s="45"/>
      <c r="N63" s="43"/>
    </row>
    <row r="64" spans="1:16" s="17" customFormat="1" ht="14.5" x14ac:dyDescent="0.35">
      <c r="B64" s="50">
        <v>61</v>
      </c>
      <c r="C64" s="44" t="s">
        <v>197</v>
      </c>
      <c r="D64" s="52" t="s">
        <v>198</v>
      </c>
      <c r="E64" s="28" t="s">
        <v>29</v>
      </c>
      <c r="F64" s="39" t="s">
        <v>19</v>
      </c>
      <c r="G64" s="41">
        <f>[1]C61!C37</f>
        <v>0</v>
      </c>
      <c r="H64" s="41">
        <f>[1]C61!D37</f>
        <v>0</v>
      </c>
      <c r="I64" s="41">
        <f>[1]C61!E37</f>
        <v>-2</v>
      </c>
      <c r="J64" s="41">
        <f>[1]C61!G37</f>
        <v>0</v>
      </c>
      <c r="K64" s="41">
        <f>[1]C61!H37</f>
        <v>-400</v>
      </c>
      <c r="L64" s="41">
        <f>[1]C61!I37</f>
        <v>-400</v>
      </c>
      <c r="M64" s="45" t="s">
        <v>199</v>
      </c>
      <c r="N64" s="43"/>
    </row>
    <row r="65" spans="2:15" s="17" customFormat="1" ht="14.5" x14ac:dyDescent="0.35">
      <c r="B65" s="50">
        <v>62</v>
      </c>
      <c r="C65" s="44" t="s">
        <v>200</v>
      </c>
      <c r="D65" s="52" t="s">
        <v>201</v>
      </c>
      <c r="E65" s="28" t="s">
        <v>29</v>
      </c>
      <c r="F65" s="39" t="s">
        <v>19</v>
      </c>
      <c r="G65" s="41">
        <f>[1]C62!C37</f>
        <v>0</v>
      </c>
      <c r="H65" s="41">
        <f>[1]C62!D37</f>
        <v>0</v>
      </c>
      <c r="I65" s="41">
        <f>[1]C62!E37</f>
        <v>-2</v>
      </c>
      <c r="J65" s="41">
        <f>[1]C62!G37</f>
        <v>0</v>
      </c>
      <c r="K65" s="41">
        <f>[1]C62!H37</f>
        <v>-560</v>
      </c>
      <c r="L65" s="41">
        <f>[1]C62!I37</f>
        <v>-560</v>
      </c>
      <c r="M65" s="45" t="s">
        <v>202</v>
      </c>
      <c r="N65" s="43"/>
    </row>
    <row r="66" spans="2:15" s="17" customFormat="1" ht="14.5" x14ac:dyDescent="0.35">
      <c r="B66" s="50">
        <v>63</v>
      </c>
      <c r="C66" s="44" t="s">
        <v>203</v>
      </c>
      <c r="D66" s="52" t="s">
        <v>204</v>
      </c>
      <c r="E66" s="28" t="s">
        <v>29</v>
      </c>
      <c r="F66" s="39" t="s">
        <v>50</v>
      </c>
      <c r="G66" s="41">
        <f>[1]C63!C37</f>
        <v>0</v>
      </c>
      <c r="H66" s="41">
        <f>[1]C63!D37</f>
        <v>0</v>
      </c>
      <c r="I66" s="41">
        <f>[1]C63!E37</f>
        <v>-1</v>
      </c>
      <c r="J66" s="41">
        <f>[1]C63!G37</f>
        <v>0</v>
      </c>
      <c r="K66" s="41">
        <f>[1]C63!H37</f>
        <v>-580</v>
      </c>
      <c r="L66" s="41">
        <f>[1]C63!I37</f>
        <v>-580</v>
      </c>
      <c r="M66" s="45"/>
      <c r="N66" s="43"/>
    </row>
    <row r="67" spans="2:15" s="17" customFormat="1" ht="14.5" x14ac:dyDescent="0.35">
      <c r="B67" s="50">
        <v>64</v>
      </c>
      <c r="C67" s="44" t="s">
        <v>205</v>
      </c>
      <c r="D67" s="52" t="s">
        <v>206</v>
      </c>
      <c r="E67" s="28" t="s">
        <v>29</v>
      </c>
      <c r="F67" s="39" t="s">
        <v>19</v>
      </c>
      <c r="G67" s="41">
        <f>[1]C64!C37</f>
        <v>0</v>
      </c>
      <c r="H67" s="41">
        <f>[1]C64!D37</f>
        <v>0</v>
      </c>
      <c r="I67" s="41">
        <f>[1]C64!E37</f>
        <v>0</v>
      </c>
      <c r="J67" s="41">
        <f>[1]C64!G37</f>
        <v>0</v>
      </c>
      <c r="K67" s="41">
        <f>[1]C64!H37</f>
        <v>0</v>
      </c>
      <c r="L67" s="41">
        <f>[1]C64!I37</f>
        <v>0</v>
      </c>
      <c r="M67" s="45"/>
      <c r="N67" s="43"/>
    </row>
    <row r="68" spans="2:15" s="17" customFormat="1" ht="14.5" x14ac:dyDescent="0.35">
      <c r="B68" s="50">
        <v>65</v>
      </c>
      <c r="C68" s="44" t="s">
        <v>207</v>
      </c>
      <c r="D68" s="40" t="s">
        <v>208</v>
      </c>
      <c r="E68" s="39" t="s">
        <v>209</v>
      </c>
      <c r="F68" s="39" t="s">
        <v>19</v>
      </c>
      <c r="G68" s="41">
        <f>[1]C65!C37</f>
        <v>0</v>
      </c>
      <c r="H68" s="41">
        <f>[1]C65!D37</f>
        <v>0</v>
      </c>
      <c r="I68" s="41">
        <f>[1]C65!E37</f>
        <v>0</v>
      </c>
      <c r="J68" s="41">
        <f>[1]C65!G37</f>
        <v>0</v>
      </c>
      <c r="K68" s="41">
        <f>[1]C65!H37</f>
        <v>0</v>
      </c>
      <c r="L68" s="41">
        <f>[1]C65!I37</f>
        <v>0</v>
      </c>
      <c r="M68" s="45"/>
      <c r="N68" s="43"/>
    </row>
    <row r="69" spans="2:15" s="17" customFormat="1" ht="14.5" x14ac:dyDescent="0.35">
      <c r="B69" s="50"/>
      <c r="C69" s="44"/>
      <c r="D69" s="39"/>
      <c r="E69" s="39"/>
      <c r="F69" s="39"/>
      <c r="G69" s="41"/>
      <c r="H69" s="41"/>
      <c r="I69" s="41"/>
      <c r="J69" s="41"/>
      <c r="K69" s="41"/>
      <c r="L69" s="41"/>
      <c r="M69" s="45"/>
      <c r="N69" s="43"/>
    </row>
    <row r="70" spans="2:15" s="17" customFormat="1" thickBot="1" x14ac:dyDescent="0.4">
      <c r="B70" s="50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42"/>
      <c r="N70" s="43"/>
      <c r="O70" s="46"/>
    </row>
    <row r="71" spans="2:15" s="17" customFormat="1" thickBot="1" x14ac:dyDescent="0.4">
      <c r="B71" s="53"/>
      <c r="C71" s="54"/>
      <c r="D71" s="54"/>
      <c r="E71" s="54"/>
      <c r="F71" s="54"/>
      <c r="G71" s="55">
        <f>SUM(G4:G70)</f>
        <v>94</v>
      </c>
      <c r="H71" s="55">
        <f>SUM(H4:H70)</f>
        <v>93</v>
      </c>
      <c r="I71" s="55">
        <f>SUM(I4:I70)</f>
        <v>-174</v>
      </c>
      <c r="J71" s="55">
        <f>SUM(J4:J70)</f>
        <v>8460</v>
      </c>
      <c r="K71" s="55">
        <f>SUM(K4:K70)</f>
        <v>-55110</v>
      </c>
      <c r="L71" s="55">
        <f>SUM(L4:L70)</f>
        <v>-63570</v>
      </c>
      <c r="M71" s="56"/>
      <c r="N71" s="57"/>
    </row>
    <row r="72" spans="2:15" s="17" customFormat="1" ht="14.5" x14ac:dyDescent="0.35"/>
    <row r="73" spans="2:15" s="17" customFormat="1" ht="15" customHeight="1" x14ac:dyDescent="0.35"/>
    <row r="74" spans="2:15" s="17" customFormat="1" ht="15" customHeight="1" x14ac:dyDescent="0.35"/>
    <row r="75" spans="2:15" s="17" customFormat="1" ht="15" customHeight="1" x14ac:dyDescent="0.35"/>
  </sheetData>
  <autoFilter ref="A3:P71" xr:uid="{64DCBB65-B2A5-40F4-B7B1-CD45CC2E6B66}">
    <sortState xmlns:xlrd2="http://schemas.microsoft.com/office/spreadsheetml/2017/richdata2" ref="A4:P71">
      <sortCondition ref="B3:B71"/>
    </sortState>
  </autoFilter>
  <mergeCells count="2">
    <mergeCell ref="B1:N1"/>
    <mergeCell ref="B2:N2"/>
  </mergeCells>
  <conditionalFormatting sqref="B1:B2">
    <cfRule type="expression" dxfId="5" priority="1">
      <formula>B1&lt;&gt;""</formula>
    </cfRule>
    <cfRule type="expression" dxfId="4" priority="2">
      <formula>B1</formula>
    </cfRule>
  </conditionalFormatting>
  <hyperlinks>
    <hyperlink ref="C5" location="'C2'!A1" display="C2" xr:uid="{261E6378-9259-4FE5-A680-17938D3A90BC}"/>
    <hyperlink ref="C4" location="'C1'!A1" display="001" xr:uid="{EB643C77-DC04-4295-B698-50CA108A6CC6}"/>
    <hyperlink ref="C6" location="'C3'!A1" display="C3" xr:uid="{A344CFA3-C95D-495A-AD98-D21B5FC1513F}"/>
    <hyperlink ref="C7" location="'C4'!A1" display="C4" xr:uid="{BAE03154-7E8D-480F-A196-F8B38F394E4A}"/>
    <hyperlink ref="C33" location="'C30'!A1" display="C30" xr:uid="{2C77DCC4-3166-45AB-A79E-293FBD2B04ED}"/>
    <hyperlink ref="C32" location="'C29'!A1" display="C29" xr:uid="{657479C7-A831-4E1C-BB0B-6CD6993F2A22}"/>
    <hyperlink ref="C31" location="'C28'!A1" display="C28" xr:uid="{CAF5771E-A4D6-4B16-A940-E1356C32DBBA}"/>
    <hyperlink ref="C30" location="'C27'!A1" display="C27" xr:uid="{6A3AEA88-365B-417D-AFDF-59C7216F478A}"/>
    <hyperlink ref="C29" location="'C26'!A1" display="C26" xr:uid="{F9FA273C-0198-4BA0-AC41-41702841312E}"/>
    <hyperlink ref="C28" location="'C25'!A1" display="C25" xr:uid="{4651C089-4991-4DEC-9BA3-20784E7ABE89}"/>
    <hyperlink ref="C26" location="'C23'!A1" display="C23" xr:uid="{9BDC731E-3B8B-4901-93C0-4C79F4DC9B04}"/>
    <hyperlink ref="C25" location="'C22'!A1" display="C22" xr:uid="{F3400548-A7B4-40A4-AA5A-FA560BD9AF83}"/>
    <hyperlink ref="C24" location="'C21'!A1" display="C21" xr:uid="{66E50EDF-9BCE-4E70-8AC5-C26F2A2CBC91}"/>
    <hyperlink ref="C23" location="'C20'!A1" display="C20" xr:uid="{C204B3FC-36DC-410D-9FFD-B5E01E807144}"/>
    <hyperlink ref="C22" location="'C19'!A1" display="C19" xr:uid="{2267C242-BEA1-4AA8-A576-C023C588B4E2}"/>
    <hyperlink ref="C21" location="'C18'!A1" display="C18" xr:uid="{678AC77A-2A0E-4448-90B0-BC1CBF77B84F}"/>
    <hyperlink ref="C20" location="'C17'!A1" display="C17" xr:uid="{E33793B6-730E-427D-BACA-D2C563C56083}"/>
    <hyperlink ref="C19" location="'C16'!A1" display="C16" xr:uid="{4EB186D7-0D27-40D1-AF31-F8A262CCF1FE}"/>
    <hyperlink ref="C18" location="'C15'!A1" display="C15" xr:uid="{68D58E0E-E128-408D-BEB7-7427F2243098}"/>
    <hyperlink ref="C17" location="'C14'!A1" display="C14" xr:uid="{15AC1C32-75D4-4645-8191-92AE57D8CE35}"/>
    <hyperlink ref="C16" location="'C13'!A1" display="C13" xr:uid="{B9CAFCA0-3CD5-499A-9098-0BF97FAE3F47}"/>
    <hyperlink ref="C15" location="'C12'!A1" display="C12" xr:uid="{7215BA17-A7FF-405E-9C98-DD7C5CF13E95}"/>
    <hyperlink ref="C14" location="'C11'!A1" display="C11" xr:uid="{D68EA265-82A6-47AA-83FC-3CBA48DB1887}"/>
    <hyperlink ref="C13" location="'C10'!A1" display="C10" xr:uid="{82B1527E-A236-438B-AA1A-CC537FBEF20F}"/>
    <hyperlink ref="C12" location="'C9'!A1" display="C9" xr:uid="{A71C64DE-68C5-4B51-8D35-C7CE53B94952}"/>
    <hyperlink ref="C11" location="'C8'!A1" display="C8" xr:uid="{150EACE1-6176-4BEC-9316-B9E1C7C679D8}"/>
    <hyperlink ref="C10" location="'C7'!A1" display="C7" xr:uid="{6015F48A-7DE5-46C5-844E-1CAC63AD97DB}"/>
    <hyperlink ref="C9" location="'C6'!A1" display="C6" xr:uid="{7DEFD191-4874-4BB9-9328-1220094677CA}"/>
    <hyperlink ref="C8" location="'C5'!A1" display="C5" xr:uid="{D18D2040-2DF5-41F6-B3EC-EABC9664D372}"/>
    <hyperlink ref="C27" location="'C24'!A1" display="C24" xr:uid="{36E03139-EACA-4AA5-9930-31264FB8A610}"/>
    <hyperlink ref="A3" location="Final!A1" display="C" xr:uid="{8ED84ED9-42D2-4CBB-BB00-4D3518DE0B0D}"/>
    <hyperlink ref="C34" location="'C31'!A1" display="C31" xr:uid="{5EBB0176-DF21-4771-A7FD-9D65DDE16B5E}"/>
    <hyperlink ref="C37" location="'C34'!A1" display="C34" xr:uid="{A7A2D544-0B8F-4FC8-B6D3-4F6EAC2BCBC7}"/>
    <hyperlink ref="C36" location="'C33'!A1" display="C33" xr:uid="{9074F02F-3E61-4EF6-9AA8-12FFE396935F}"/>
    <hyperlink ref="C35" location="'C32'!A1" display="C32" xr:uid="{729F652D-6EB7-48E4-B2F5-D49B40299DC7}"/>
    <hyperlink ref="C41" location="'C38'!A1" display="C38" xr:uid="{6E09F192-6B8B-4B72-B9C7-F21AA46E4DBC}"/>
    <hyperlink ref="C40" location="'C37'!A1" display="C37" xr:uid="{5A11A97C-F83C-43ED-8502-5E1CC43BF7A3}"/>
    <hyperlink ref="C39" location="'C36'!A1" display="C36" xr:uid="{1575B0D8-16CB-42D3-B33C-179F6B7A84A5}"/>
    <hyperlink ref="C42" location="'C39'!A1" display="C39" xr:uid="{26B0F5E5-FC4D-42D1-911E-E9FADFEF5AE4}"/>
    <hyperlink ref="C43" location="'C40'!A1" display="C40" xr:uid="{6C24D811-E23C-4CF3-9E4E-050208664795}"/>
    <hyperlink ref="C44" location="'C41'!A1" display="C41" xr:uid="{98EBF95B-A900-4E59-839B-3829FE040027}"/>
    <hyperlink ref="C45" location="'C42'!A1" display="C42" xr:uid="{07EF1E28-207B-4C24-967C-95661780B207}"/>
    <hyperlink ref="C47" location="'C44'!A1" display="C44" xr:uid="{4ADF6BF5-AB7A-4FA8-838C-37FF267E7073}"/>
    <hyperlink ref="C50" location="'C47'!A1" display="C47" xr:uid="{7E34B632-2410-400C-9BE5-A9D7C898BF0D}"/>
    <hyperlink ref="C49" location="'C46'!A1" display="C46" xr:uid="{003FE1F9-D043-4726-9127-65946418C39E}"/>
    <hyperlink ref="C53" location="'C50'!A1" display="C50" xr:uid="{A59B58FC-150D-45D4-981E-5AF30AFE8CBD}"/>
    <hyperlink ref="C52" location="'C49'!A1" display="C49" xr:uid="{7F4762A7-76D0-4095-9BEE-7FF4AB392921}"/>
    <hyperlink ref="C51" location="'C48'!A1" display="C48" xr:uid="{98498CA6-DEF2-4C00-9DF7-0938D9A261A1}"/>
    <hyperlink ref="C54" location="'C51'!A1" display="C51" xr:uid="{5756E603-6E75-4EAD-964C-E61269A0D34F}"/>
    <hyperlink ref="C55" location="'C52'!A1" display="C52" xr:uid="{2F1D3C7A-CBFC-40FB-A7D0-01A2C4B9A0FE}"/>
    <hyperlink ref="C46" location="'C43'!A1" display="C43" xr:uid="{CD4E57ED-06EB-4CE6-9438-149407FA62D4}"/>
    <hyperlink ref="C38" location="'C35'!A1" display="C35" xr:uid="{DF653A7E-414A-41C8-89A2-F593C22423B2}"/>
    <hyperlink ref="C56" location="'C53'!A1" display="C53" xr:uid="{90165CA6-D13E-4713-AB9C-6C0FCCDA189F}"/>
    <hyperlink ref="C57" location="'C54'!A1" display="C54" xr:uid="{0E375C9A-68BE-423A-AE95-E11737CAEB68}"/>
    <hyperlink ref="C58" location="'C55'!A1" display="C55" xr:uid="{A87DD8C3-2906-48EE-9C08-2FE7F91BE6A5}"/>
    <hyperlink ref="C48" location="'C45'!A1" display="C45" xr:uid="{8C335D70-AF2B-454E-8C2F-ABC4C4604154}"/>
    <hyperlink ref="C59" location="'C56'!A1" display="C56" xr:uid="{0D494A62-CE34-48CD-8E2A-43708ADFBE69}"/>
    <hyperlink ref="C60" location="'C57'!A1" display="C57" xr:uid="{34B5415A-A589-41F1-878F-216076FFF59B}"/>
    <hyperlink ref="C61" location="'C58'!A1" display="C58" xr:uid="{A10BDD56-41E4-4E7E-B63D-4EBCFDBCED2E}"/>
    <hyperlink ref="C62" location="'C59'!A1" display="C59" xr:uid="{B3CAC3DC-24E7-48D7-A134-363DD6B4A01E}"/>
    <hyperlink ref="C63" location="'C60'!A1" display="C60" xr:uid="{9A191973-0E66-41FC-9ED4-DE2BF95F5771}"/>
    <hyperlink ref="C65" location="'C62'!A1" display="C62" xr:uid="{B9C4569A-3F35-4CC0-BC9D-2A19BDB7B01B}"/>
    <hyperlink ref="C68" location="'C65'!A1" display="C65" xr:uid="{17F715C4-59C4-4206-8295-86392D0C3885}"/>
    <hyperlink ref="C66" location="'C63'!A1" display="C63" xr:uid="{41F470FF-6DDE-4C4A-8186-C572E149D5F3}"/>
    <hyperlink ref="C64" location="'C61'!A1" display="C61" xr:uid="{2CB8D3BE-7B2A-43F9-AB67-E64DE958D72E}"/>
    <hyperlink ref="C67" location="'C64'!A1" display="C64" xr:uid="{60AFD456-CD88-43C3-BD8C-5C8F967FD1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494E-F02F-4C66-97CA-7F76592C20D3}">
  <dimension ref="A1:P46"/>
  <sheetViews>
    <sheetView topLeftCell="A4" zoomScale="90" zoomScaleNormal="90" workbookViewId="0">
      <selection activeCell="D17" sqref="D17"/>
    </sheetView>
  </sheetViews>
  <sheetFormatPr defaultRowHeight="15" customHeight="1" x14ac:dyDescent="0.35"/>
  <cols>
    <col min="2" max="2" width="5.54296875" customWidth="1"/>
    <col min="3" max="3" width="7.54296875" customWidth="1"/>
    <col min="4" max="4" width="21.08984375" style="17" bestFit="1" customWidth="1"/>
    <col min="5" max="6" width="14.54296875" style="17" customWidth="1"/>
    <col min="7" max="7" width="10.7265625" customWidth="1"/>
    <col min="13" max="13" width="16.36328125" customWidth="1"/>
    <col min="14" max="14" width="12.81640625" customWidth="1"/>
  </cols>
  <sheetData>
    <row r="1" spans="1:16" ht="31.5" thickBot="1" x14ac:dyDescent="0.4">
      <c r="A1" s="1"/>
      <c r="B1" s="2" t="s">
        <v>0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5"/>
    </row>
    <row r="2" spans="1:16" ht="19" thickBot="1" x14ac:dyDescent="0.4">
      <c r="B2" s="6" t="s">
        <v>210</v>
      </c>
      <c r="C2" s="7"/>
      <c r="D2" s="8"/>
      <c r="E2" s="7"/>
      <c r="F2" s="7"/>
      <c r="G2" s="7"/>
      <c r="H2" s="7"/>
      <c r="I2" s="7"/>
      <c r="J2" s="7"/>
      <c r="K2" s="7"/>
      <c r="L2" s="7"/>
      <c r="M2" s="7"/>
      <c r="N2" s="9"/>
      <c r="P2" s="10">
        <f>G38</f>
        <v>56</v>
      </c>
    </row>
    <row r="3" spans="1:16" ht="62.25" customHeight="1" thickBot="1" x14ac:dyDescent="0.4">
      <c r="A3" s="11" t="s">
        <v>211</v>
      </c>
      <c r="B3" s="12" t="s">
        <v>3</v>
      </c>
      <c r="C3" s="13" t="s">
        <v>4</v>
      </c>
      <c r="D3" s="14" t="s">
        <v>5</v>
      </c>
      <c r="E3" s="14" t="s">
        <v>6</v>
      </c>
      <c r="F3" s="14" t="s">
        <v>7</v>
      </c>
      <c r="G3" s="13" t="s">
        <v>8</v>
      </c>
      <c r="H3" s="13" t="s">
        <v>9</v>
      </c>
      <c r="I3" s="13" t="s">
        <v>10</v>
      </c>
      <c r="J3" s="13" t="s">
        <v>11</v>
      </c>
      <c r="K3" s="13" t="s">
        <v>12</v>
      </c>
      <c r="L3" s="13" t="s">
        <v>13</v>
      </c>
      <c r="M3" s="15" t="s">
        <v>14</v>
      </c>
      <c r="N3" s="16" t="s">
        <v>15</v>
      </c>
    </row>
    <row r="4" spans="1:16" s="17" customFormat="1" ht="14.5" x14ac:dyDescent="0.35">
      <c r="B4" s="25">
        <v>1</v>
      </c>
      <c r="C4" s="26" t="s">
        <v>212</v>
      </c>
      <c r="D4" s="32" t="s">
        <v>213</v>
      </c>
      <c r="E4" s="28" t="s">
        <v>44</v>
      </c>
      <c r="F4" s="28" t="s">
        <v>214</v>
      </c>
      <c r="G4" s="29">
        <f>[1]R1!C37</f>
        <v>0</v>
      </c>
      <c r="H4" s="29">
        <f>[1]R1!D37</f>
        <v>0</v>
      </c>
      <c r="I4" s="29">
        <f>[1]R1!E37</f>
        <v>-2</v>
      </c>
      <c r="J4" s="29">
        <f>[1]R1!G37</f>
        <v>0</v>
      </c>
      <c r="K4" s="29">
        <f>[1]R1!H37</f>
        <v>-800</v>
      </c>
      <c r="L4" s="29">
        <f>[1]R1!I37</f>
        <v>-800</v>
      </c>
      <c r="M4" s="30" t="s">
        <v>215</v>
      </c>
      <c r="N4" s="24"/>
    </row>
    <row r="5" spans="1:16" s="17" customFormat="1" ht="14.5" x14ac:dyDescent="0.35">
      <c r="B5" s="25">
        <v>2</v>
      </c>
      <c r="C5" s="26" t="s">
        <v>216</v>
      </c>
      <c r="D5" s="32" t="s">
        <v>217</v>
      </c>
      <c r="E5" s="28" t="s">
        <v>44</v>
      </c>
      <c r="F5" s="28" t="s">
        <v>214</v>
      </c>
      <c r="G5" s="29">
        <f>[1]R2!C37</f>
        <v>1</v>
      </c>
      <c r="H5" s="29">
        <f>[1]R2!D37</f>
        <v>1</v>
      </c>
      <c r="I5" s="29">
        <f>[1]R2!E37</f>
        <v>-5</v>
      </c>
      <c r="J5" s="29">
        <f>[1]R2!G37</f>
        <v>100</v>
      </c>
      <c r="K5" s="29">
        <f>[1]R2!H37</f>
        <v>-1400</v>
      </c>
      <c r="L5" s="29">
        <f>[1]R2!I37</f>
        <v>-1500</v>
      </c>
      <c r="M5" s="58" t="s">
        <v>218</v>
      </c>
      <c r="N5" s="35"/>
    </row>
    <row r="6" spans="1:16" s="17" customFormat="1" ht="14.5" x14ac:dyDescent="0.35">
      <c r="B6" s="25">
        <v>3</v>
      </c>
      <c r="C6" s="26" t="s">
        <v>219</v>
      </c>
      <c r="D6" s="32" t="s">
        <v>220</v>
      </c>
      <c r="E6" s="28" t="s">
        <v>44</v>
      </c>
      <c r="F6" s="28" t="s">
        <v>214</v>
      </c>
      <c r="G6" s="29">
        <f>[1]R3!C37</f>
        <v>1</v>
      </c>
      <c r="H6" s="29">
        <f>[1]R3!D37</f>
        <v>1</v>
      </c>
      <c r="I6" s="29">
        <f>[1]R3!E37</f>
        <v>-2</v>
      </c>
      <c r="J6" s="29">
        <f>[1]R3!G37</f>
        <v>90</v>
      </c>
      <c r="K6" s="29">
        <f>[1]R3!H37</f>
        <v>-720</v>
      </c>
      <c r="L6" s="29">
        <f>[1]R3!I37</f>
        <v>-810</v>
      </c>
      <c r="M6" s="31" t="s">
        <v>221</v>
      </c>
      <c r="N6" s="35"/>
      <c r="P6" s="31"/>
    </row>
    <row r="7" spans="1:16" s="51" customFormat="1" ht="14.5" x14ac:dyDescent="0.35">
      <c r="B7" s="59">
        <v>4</v>
      </c>
      <c r="C7" s="60" t="s">
        <v>222</v>
      </c>
      <c r="D7" s="61" t="s">
        <v>223</v>
      </c>
      <c r="E7" s="61" t="s">
        <v>44</v>
      </c>
      <c r="F7" s="61" t="s">
        <v>214</v>
      </c>
      <c r="G7" s="62">
        <f>[1]R4!C37</f>
        <v>2</v>
      </c>
      <c r="H7" s="62">
        <f>[1]R4!D37</f>
        <v>2</v>
      </c>
      <c r="I7" s="62">
        <f>[1]R4!E37</f>
        <v>-2</v>
      </c>
      <c r="J7" s="62">
        <f>[1]R4!G37</f>
        <v>200</v>
      </c>
      <c r="K7" s="62">
        <f>[1]R4!H37</f>
        <v>-800</v>
      </c>
      <c r="L7" s="62">
        <f>[1]R4!I37</f>
        <v>-1000</v>
      </c>
      <c r="M7" s="63" t="s">
        <v>224</v>
      </c>
      <c r="N7" s="64"/>
    </row>
    <row r="8" spans="1:16" s="17" customFormat="1" ht="14.5" x14ac:dyDescent="0.35">
      <c r="B8" s="25">
        <v>5</v>
      </c>
      <c r="C8" s="26" t="s">
        <v>225</v>
      </c>
      <c r="D8" s="32" t="s">
        <v>226</v>
      </c>
      <c r="E8" s="28" t="s">
        <v>44</v>
      </c>
      <c r="F8" s="28" t="s">
        <v>214</v>
      </c>
      <c r="G8" s="29">
        <f>[1]R5!C37</f>
        <v>2</v>
      </c>
      <c r="H8" s="29">
        <f>[1]R5!D37</f>
        <v>2</v>
      </c>
      <c r="I8" s="29">
        <f>[1]R5!E37</f>
        <v>-5</v>
      </c>
      <c r="J8" s="29">
        <f>[1]R5!G37</f>
        <v>200</v>
      </c>
      <c r="K8" s="29">
        <f>[1]R5!H37</f>
        <v>80</v>
      </c>
      <c r="L8" s="29">
        <f>[1]R5!I37</f>
        <v>-120</v>
      </c>
      <c r="M8" s="36" t="s">
        <v>227</v>
      </c>
      <c r="N8" s="35"/>
    </row>
    <row r="9" spans="1:16" s="17" customFormat="1" ht="14.5" x14ac:dyDescent="0.35">
      <c r="B9" s="25">
        <v>6</v>
      </c>
      <c r="C9" s="26" t="s">
        <v>228</v>
      </c>
      <c r="D9" s="32" t="s">
        <v>229</v>
      </c>
      <c r="E9" s="28" t="s">
        <v>44</v>
      </c>
      <c r="F9" s="28" t="s">
        <v>214</v>
      </c>
      <c r="G9" s="37">
        <f>[1]R6!C37</f>
        <v>1</v>
      </c>
      <c r="H9" s="37">
        <f>[1]R6!D37</f>
        <v>1</v>
      </c>
      <c r="I9" s="37">
        <f>[1]R6!E37</f>
        <v>-3</v>
      </c>
      <c r="J9" s="37">
        <f>[1]R6!G37</f>
        <v>100</v>
      </c>
      <c r="K9" s="37">
        <f>[1]R6!H37</f>
        <v>-960</v>
      </c>
      <c r="L9" s="37">
        <f>[1]R6!I37</f>
        <v>-1060</v>
      </c>
      <c r="M9" s="36" t="s">
        <v>230</v>
      </c>
      <c r="N9" s="35"/>
    </row>
    <row r="10" spans="1:16" s="17" customFormat="1" ht="14.5" x14ac:dyDescent="0.35">
      <c r="B10" s="25">
        <v>7</v>
      </c>
      <c r="C10" s="26" t="s">
        <v>231</v>
      </c>
      <c r="D10" s="32" t="s">
        <v>232</v>
      </c>
      <c r="E10" s="28" t="s">
        <v>44</v>
      </c>
      <c r="F10" s="28" t="s">
        <v>214</v>
      </c>
      <c r="G10" s="37">
        <f>[1]R7!C37</f>
        <v>2</v>
      </c>
      <c r="H10" s="37">
        <f>[1]R7!D37</f>
        <v>2</v>
      </c>
      <c r="I10" s="37">
        <f>[1]R7!E37</f>
        <v>-3</v>
      </c>
      <c r="J10" s="37">
        <f>[1]R7!G37</f>
        <v>200</v>
      </c>
      <c r="K10" s="37">
        <f>[1]R7!H37</f>
        <v>-1040</v>
      </c>
      <c r="L10" s="37">
        <f>[1]R7!I37</f>
        <v>-1240</v>
      </c>
      <c r="M10" s="36" t="s">
        <v>233</v>
      </c>
      <c r="N10" s="35"/>
    </row>
    <row r="11" spans="1:16" s="51" customFormat="1" ht="14.5" x14ac:dyDescent="0.35">
      <c r="B11" s="59">
        <v>8</v>
      </c>
      <c r="C11" s="60" t="s">
        <v>234</v>
      </c>
      <c r="D11" s="61" t="s">
        <v>235</v>
      </c>
      <c r="E11" s="61" t="s">
        <v>44</v>
      </c>
      <c r="F11" s="61" t="s">
        <v>214</v>
      </c>
      <c r="G11" s="65">
        <f>[1]R8!C37</f>
        <v>2</v>
      </c>
      <c r="H11" s="65">
        <f>[1]R8!D37</f>
        <v>2</v>
      </c>
      <c r="I11" s="65">
        <f>[1]R8!E37</f>
        <v>-3</v>
      </c>
      <c r="J11" s="65">
        <f>[1]R8!G37</f>
        <v>200</v>
      </c>
      <c r="K11" s="65">
        <f>[1]R8!H37</f>
        <v>-1280</v>
      </c>
      <c r="L11" s="65">
        <f>[1]R8!I37</f>
        <v>-1480</v>
      </c>
      <c r="M11" s="63" t="s">
        <v>236</v>
      </c>
      <c r="N11" s="64"/>
    </row>
    <row r="12" spans="1:16" s="51" customFormat="1" ht="14.5" x14ac:dyDescent="0.35">
      <c r="B12" s="59">
        <v>9</v>
      </c>
      <c r="C12" s="60" t="s">
        <v>237</v>
      </c>
      <c r="D12" s="61" t="s">
        <v>238</v>
      </c>
      <c r="E12" s="61" t="s">
        <v>44</v>
      </c>
      <c r="F12" s="61" t="s">
        <v>214</v>
      </c>
      <c r="G12" s="65">
        <f>[1]R9!C37</f>
        <v>1</v>
      </c>
      <c r="H12" s="65">
        <f>[1]R9!D37</f>
        <v>1</v>
      </c>
      <c r="I12" s="65">
        <f>[1]R9!E37</f>
        <v>-4</v>
      </c>
      <c r="J12" s="65">
        <f>[1]R9!G37</f>
        <v>100</v>
      </c>
      <c r="K12" s="65">
        <f>[1]R9!H37</f>
        <v>-880</v>
      </c>
      <c r="L12" s="65">
        <f>[1]R9!I37</f>
        <v>-980</v>
      </c>
      <c r="M12" s="63" t="s">
        <v>239</v>
      </c>
      <c r="N12" s="64"/>
    </row>
    <row r="13" spans="1:16" s="17" customFormat="1" ht="14.5" x14ac:dyDescent="0.35">
      <c r="B13" s="25">
        <v>10</v>
      </c>
      <c r="C13" s="26" t="s">
        <v>240</v>
      </c>
      <c r="D13" s="32" t="s">
        <v>241</v>
      </c>
      <c r="E13" s="28" t="s">
        <v>44</v>
      </c>
      <c r="F13" s="28" t="s">
        <v>214</v>
      </c>
      <c r="G13" s="37">
        <f>[1]R10!C37</f>
        <v>4</v>
      </c>
      <c r="H13" s="37">
        <f>[1]R10!D37</f>
        <v>4</v>
      </c>
      <c r="I13" s="37">
        <f>[1]R10!E37</f>
        <v>-3</v>
      </c>
      <c r="J13" s="37">
        <f>[1]R10!G37</f>
        <v>400</v>
      </c>
      <c r="K13" s="37">
        <f>[1]R10!H37</f>
        <v>-1280</v>
      </c>
      <c r="L13" s="37">
        <f>[1]R10!I37</f>
        <v>-1680</v>
      </c>
      <c r="M13" s="36" t="s">
        <v>242</v>
      </c>
      <c r="N13" s="35"/>
    </row>
    <row r="14" spans="1:16" s="17" customFormat="1" ht="14.5" x14ac:dyDescent="0.35">
      <c r="B14" s="25">
        <v>11</v>
      </c>
      <c r="C14" s="26" t="s">
        <v>243</v>
      </c>
      <c r="D14" s="32" t="s">
        <v>244</v>
      </c>
      <c r="E14" s="28" t="s">
        <v>44</v>
      </c>
      <c r="F14" s="28" t="s">
        <v>214</v>
      </c>
      <c r="G14" s="37">
        <f>[1]R11!C37</f>
        <v>2</v>
      </c>
      <c r="H14" s="37">
        <f>[1]R11!D37</f>
        <v>2</v>
      </c>
      <c r="I14" s="37">
        <f>[1]R11!E37</f>
        <v>-5</v>
      </c>
      <c r="J14" s="37">
        <f>[1]R11!G37</f>
        <v>200</v>
      </c>
      <c r="K14" s="37">
        <f>[1]R11!H37</f>
        <v>-1200</v>
      </c>
      <c r="L14" s="37">
        <f>[1]R11!I37</f>
        <v>-1400</v>
      </c>
      <c r="M14" s="36" t="s">
        <v>245</v>
      </c>
      <c r="N14" s="35"/>
    </row>
    <row r="15" spans="1:16" s="17" customFormat="1" ht="14.5" x14ac:dyDescent="0.35">
      <c r="B15" s="25">
        <v>12</v>
      </c>
      <c r="C15" s="26" t="s">
        <v>246</v>
      </c>
      <c r="D15" s="40" t="s">
        <v>247</v>
      </c>
      <c r="E15" s="28" t="s">
        <v>44</v>
      </c>
      <c r="F15" s="39" t="s">
        <v>214</v>
      </c>
      <c r="G15" s="41">
        <f>[1]R12!C37</f>
        <v>1</v>
      </c>
      <c r="H15" s="41">
        <f>[1]R12!D37</f>
        <v>1</v>
      </c>
      <c r="I15" s="41">
        <f>[1]R12!E37</f>
        <v>-2</v>
      </c>
      <c r="J15" s="41">
        <f>[1]R12!G37</f>
        <v>100</v>
      </c>
      <c r="K15" s="41">
        <f>[1]R12!H37</f>
        <v>0</v>
      </c>
      <c r="L15" s="41">
        <f>[1]R12!I37</f>
        <v>-100</v>
      </c>
      <c r="M15" s="45" t="s">
        <v>248</v>
      </c>
      <c r="N15" s="43"/>
    </row>
    <row r="16" spans="1:16" s="17" customFormat="1" ht="14.5" x14ac:dyDescent="0.35">
      <c r="B16" s="25">
        <v>13</v>
      </c>
      <c r="C16" s="26" t="s">
        <v>249</v>
      </c>
      <c r="D16" s="40" t="s">
        <v>250</v>
      </c>
      <c r="E16" s="28" t="s">
        <v>44</v>
      </c>
      <c r="F16" s="39" t="s">
        <v>214</v>
      </c>
      <c r="G16" s="41">
        <f>[1]R13!C37</f>
        <v>1</v>
      </c>
      <c r="H16" s="41">
        <f>[1]R13!D37</f>
        <v>1</v>
      </c>
      <c r="I16" s="41">
        <f>[1]R13!E37</f>
        <v>-4</v>
      </c>
      <c r="J16" s="41">
        <f>[1]R13!G37</f>
        <v>100</v>
      </c>
      <c r="K16" s="41">
        <f>[1]R13!H37</f>
        <v>0</v>
      </c>
      <c r="L16" s="41">
        <f>[1]R13!I37</f>
        <v>-100</v>
      </c>
      <c r="M16" s="42" t="s">
        <v>251</v>
      </c>
      <c r="N16" s="43"/>
    </row>
    <row r="17" spans="1:16" s="17" customFormat="1" ht="14.5" x14ac:dyDescent="0.35">
      <c r="B17" s="25">
        <v>14</v>
      </c>
      <c r="C17" s="26" t="s">
        <v>252</v>
      </c>
      <c r="D17" s="40" t="s">
        <v>253</v>
      </c>
      <c r="E17" s="28" t="s">
        <v>44</v>
      </c>
      <c r="F17" s="39" t="s">
        <v>214</v>
      </c>
      <c r="G17" s="41">
        <f>[1]R14!C37</f>
        <v>2</v>
      </c>
      <c r="H17" s="41">
        <f>[1]R14!D37</f>
        <v>2</v>
      </c>
      <c r="I17" s="41">
        <f>[1]R14!E37</f>
        <v>-5</v>
      </c>
      <c r="J17" s="41">
        <f>[1]R14!G37</f>
        <v>200</v>
      </c>
      <c r="K17" s="41">
        <f>[1]R14!H37</f>
        <v>0</v>
      </c>
      <c r="L17" s="41">
        <f>[1]R14!I37</f>
        <v>-200</v>
      </c>
      <c r="M17" s="42" t="s">
        <v>254</v>
      </c>
      <c r="N17" s="43"/>
    </row>
    <row r="18" spans="1:16" s="17" customFormat="1" ht="14.5" x14ac:dyDescent="0.35">
      <c r="B18" s="25">
        <v>15</v>
      </c>
      <c r="C18" s="26" t="s">
        <v>255</v>
      </c>
      <c r="D18" s="40" t="s">
        <v>256</v>
      </c>
      <c r="E18" s="28" t="s">
        <v>44</v>
      </c>
      <c r="F18" s="39" t="s">
        <v>214</v>
      </c>
      <c r="G18" s="41">
        <f>[1]R15!C37</f>
        <v>1</v>
      </c>
      <c r="H18" s="41">
        <f>[1]R15!D37</f>
        <v>1</v>
      </c>
      <c r="I18" s="41">
        <f>[1]R15!E37</f>
        <v>-2</v>
      </c>
      <c r="J18" s="41">
        <f>[1]R15!G37</f>
        <v>90</v>
      </c>
      <c r="K18" s="41">
        <f>[1]R15!H37</f>
        <v>-800</v>
      </c>
      <c r="L18" s="41">
        <f>[1]R15!I37</f>
        <v>-890</v>
      </c>
      <c r="M18" s="42" t="s">
        <v>257</v>
      </c>
      <c r="N18" s="43"/>
    </row>
    <row r="19" spans="1:16" s="17" customFormat="1" ht="14.5" x14ac:dyDescent="0.35">
      <c r="B19" s="25">
        <v>16</v>
      </c>
      <c r="C19" s="26" t="s">
        <v>258</v>
      </c>
      <c r="D19" s="40" t="s">
        <v>259</v>
      </c>
      <c r="E19" s="28" t="s">
        <v>44</v>
      </c>
      <c r="F19" s="39" t="s">
        <v>214</v>
      </c>
      <c r="G19" s="41">
        <f>[1]R16!C37</f>
        <v>2</v>
      </c>
      <c r="H19" s="41">
        <f>[1]R16!D37</f>
        <v>2</v>
      </c>
      <c r="I19" s="41">
        <f>[1]R16!E37</f>
        <v>-3</v>
      </c>
      <c r="J19" s="41">
        <f>[1]R16!G37</f>
        <v>200</v>
      </c>
      <c r="K19" s="41">
        <f>[1]R16!H37</f>
        <v>-360</v>
      </c>
      <c r="L19" s="41">
        <f>[1]R16!I37</f>
        <v>-560</v>
      </c>
      <c r="M19" s="42" t="s">
        <v>260</v>
      </c>
      <c r="N19" s="43"/>
    </row>
    <row r="20" spans="1:16" s="17" customFormat="1" ht="14.5" x14ac:dyDescent="0.35">
      <c r="B20" s="25">
        <v>17</v>
      </c>
      <c r="C20" s="26" t="s">
        <v>261</v>
      </c>
      <c r="D20" s="39" t="s">
        <v>262</v>
      </c>
      <c r="E20" s="28" t="s">
        <v>44</v>
      </c>
      <c r="F20" s="39" t="s">
        <v>214</v>
      </c>
      <c r="G20" s="41">
        <f>[1]R17!C37</f>
        <v>0</v>
      </c>
      <c r="H20" s="41">
        <f>[1]R17!D37</f>
        <v>0</v>
      </c>
      <c r="I20" s="41">
        <f>[1]R17!E37</f>
        <v>-2</v>
      </c>
      <c r="J20" s="41">
        <f>[1]R17!G37</f>
        <v>0</v>
      </c>
      <c r="K20" s="41">
        <f>[1]R17!H37</f>
        <v>-2400</v>
      </c>
      <c r="L20" s="41">
        <f>[1]R17!I37</f>
        <v>-2400</v>
      </c>
      <c r="M20" s="36" t="s">
        <v>263</v>
      </c>
      <c r="N20" s="43"/>
    </row>
    <row r="21" spans="1:16" s="51" customFormat="1" ht="14.5" x14ac:dyDescent="0.35">
      <c r="B21" s="59">
        <v>18</v>
      </c>
      <c r="C21" s="60" t="s">
        <v>264</v>
      </c>
      <c r="D21" s="66" t="s">
        <v>265</v>
      </c>
      <c r="E21" s="61" t="s">
        <v>44</v>
      </c>
      <c r="F21" s="66" t="s">
        <v>214</v>
      </c>
      <c r="G21" s="67">
        <f>[1]R18!C37</f>
        <v>2</v>
      </c>
      <c r="H21" s="67">
        <f>[1]R18!D37</f>
        <v>2</v>
      </c>
      <c r="I21" s="67">
        <f>[1]R18!E37</f>
        <v>-4</v>
      </c>
      <c r="J21" s="67">
        <f>[1]R18!G37</f>
        <v>200</v>
      </c>
      <c r="K21" s="67">
        <f>[1]R18!H37</f>
        <v>-1440</v>
      </c>
      <c r="L21" s="67">
        <f>[1]R18!I37</f>
        <v>-1640</v>
      </c>
      <c r="M21" s="68" t="s">
        <v>266</v>
      </c>
      <c r="N21" s="69"/>
    </row>
    <row r="22" spans="1:16" s="17" customFormat="1" ht="14.5" x14ac:dyDescent="0.35">
      <c r="B22" s="25">
        <v>19</v>
      </c>
      <c r="C22" s="26" t="s">
        <v>267</v>
      </c>
      <c r="D22" s="40" t="s">
        <v>268</v>
      </c>
      <c r="E22" s="28" t="s">
        <v>44</v>
      </c>
      <c r="F22" s="39" t="s">
        <v>214</v>
      </c>
      <c r="G22" s="41">
        <f>[1]R19!C37</f>
        <v>1</v>
      </c>
      <c r="H22" s="41">
        <f>[1]R19!D37</f>
        <v>1</v>
      </c>
      <c r="I22" s="41">
        <f>[1]R19!E37</f>
        <v>-3</v>
      </c>
      <c r="J22" s="41">
        <f>[1]R19!G37</f>
        <v>90</v>
      </c>
      <c r="K22" s="41">
        <f>[1]R19!H37</f>
        <v>0</v>
      </c>
      <c r="L22" s="41">
        <f>[1]R19!I37</f>
        <v>-90</v>
      </c>
      <c r="M22" s="42" t="s">
        <v>269</v>
      </c>
      <c r="N22" s="43"/>
    </row>
    <row r="23" spans="1:16" s="17" customFormat="1" ht="14.5" x14ac:dyDescent="0.35">
      <c r="B23" s="25">
        <v>20</v>
      </c>
      <c r="C23" s="26" t="s">
        <v>270</v>
      </c>
      <c r="D23" s="40" t="s">
        <v>271</v>
      </c>
      <c r="E23" s="28" t="s">
        <v>44</v>
      </c>
      <c r="F23" s="39" t="s">
        <v>214</v>
      </c>
      <c r="G23" s="41">
        <f>[1]R20!C37</f>
        <v>2</v>
      </c>
      <c r="H23" s="41">
        <f>[1]R20!D37</f>
        <v>2</v>
      </c>
      <c r="I23" s="41">
        <f>[1]R20!E37</f>
        <v>-2</v>
      </c>
      <c r="J23" s="41">
        <f>[1]R20!G37</f>
        <v>200</v>
      </c>
      <c r="K23" s="41">
        <f>[1]R20!H37</f>
        <v>-260</v>
      </c>
      <c r="L23" s="41">
        <f>[1]R20!I37</f>
        <v>-460</v>
      </c>
      <c r="M23" s="42" t="s">
        <v>272</v>
      </c>
      <c r="N23" s="43"/>
    </row>
    <row r="24" spans="1:16" s="17" customFormat="1" ht="14.5" x14ac:dyDescent="0.35">
      <c r="B24" s="25">
        <v>21</v>
      </c>
      <c r="C24" s="26" t="s">
        <v>273</v>
      </c>
      <c r="D24" s="40" t="s">
        <v>274</v>
      </c>
      <c r="E24" s="28" t="s">
        <v>44</v>
      </c>
      <c r="F24" s="39" t="s">
        <v>214</v>
      </c>
      <c r="G24" s="41">
        <f>[1]R21!C37</f>
        <v>0</v>
      </c>
      <c r="H24" s="41">
        <f>[1]R21!D37</f>
        <v>0</v>
      </c>
      <c r="I24" s="41">
        <f>[1]R21!E37</f>
        <v>-1</v>
      </c>
      <c r="J24" s="41">
        <f>[1]R21!G37</f>
        <v>0</v>
      </c>
      <c r="K24" s="41">
        <f>[1]R21!H37</f>
        <v>0</v>
      </c>
      <c r="L24" s="41">
        <f>[1]R21!I37</f>
        <v>0</v>
      </c>
      <c r="M24" s="45" t="s">
        <v>275</v>
      </c>
      <c r="N24" s="43"/>
    </row>
    <row r="25" spans="1:16" s="17" customFormat="1" ht="14.5" x14ac:dyDescent="0.35">
      <c r="B25" s="25">
        <v>22</v>
      </c>
      <c r="C25" s="26" t="s">
        <v>276</v>
      </c>
      <c r="D25" s="40" t="s">
        <v>277</v>
      </c>
      <c r="E25" s="28" t="s">
        <v>44</v>
      </c>
      <c r="F25" s="39" t="s">
        <v>214</v>
      </c>
      <c r="G25" s="41">
        <f>[1]R22!C37</f>
        <v>2</v>
      </c>
      <c r="H25" s="41">
        <f>[1]R22!D37</f>
        <v>2</v>
      </c>
      <c r="I25" s="41">
        <f>[1]R22!E37</f>
        <v>-4</v>
      </c>
      <c r="J25" s="41">
        <f>[1]R22!G37</f>
        <v>200</v>
      </c>
      <c r="K25" s="41">
        <f>[1]R22!H37</f>
        <v>-560</v>
      </c>
      <c r="L25" s="41">
        <f>[1]R22!I37</f>
        <v>-760</v>
      </c>
      <c r="M25" s="42" t="s">
        <v>278</v>
      </c>
      <c r="N25" s="43"/>
    </row>
    <row r="26" spans="1:16" s="17" customFormat="1" ht="14.5" x14ac:dyDescent="0.35">
      <c r="B26" s="25">
        <v>23</v>
      </c>
      <c r="C26" s="26" t="s">
        <v>279</v>
      </c>
      <c r="D26" s="40" t="s">
        <v>280</v>
      </c>
      <c r="E26" s="28" t="s">
        <v>44</v>
      </c>
      <c r="F26" s="39" t="s">
        <v>214</v>
      </c>
      <c r="G26" s="41">
        <f>[1]R23!C37</f>
        <v>2</v>
      </c>
      <c r="H26" s="41">
        <f>[1]R23!D37</f>
        <v>0</v>
      </c>
      <c r="I26" s="41">
        <f>[1]R23!E37</f>
        <v>-2</v>
      </c>
      <c r="J26" s="41">
        <f>[1]R23!G37</f>
        <v>200</v>
      </c>
      <c r="K26" s="41">
        <f>[1]R23!H37</f>
        <v>0</v>
      </c>
      <c r="L26" s="41">
        <f>[1]R23!I37</f>
        <v>-200</v>
      </c>
      <c r="M26" s="42" t="s">
        <v>281</v>
      </c>
      <c r="N26" s="43"/>
    </row>
    <row r="27" spans="1:16" s="17" customFormat="1" ht="14.5" x14ac:dyDescent="0.35">
      <c r="B27" s="25">
        <v>24</v>
      </c>
      <c r="C27" s="26" t="s">
        <v>282</v>
      </c>
      <c r="D27" s="40" t="s">
        <v>283</v>
      </c>
      <c r="E27" s="39" t="s">
        <v>44</v>
      </c>
      <c r="F27" s="39" t="s">
        <v>214</v>
      </c>
      <c r="G27" s="41">
        <f>[1]R24!C37</f>
        <v>0</v>
      </c>
      <c r="H27" s="41">
        <f>[1]R24!D37</f>
        <v>0</v>
      </c>
      <c r="I27" s="41">
        <f>[1]R24!E37</f>
        <v>-3</v>
      </c>
      <c r="J27" s="41">
        <f>[1]R24!G37</f>
        <v>0</v>
      </c>
      <c r="K27" s="41">
        <f>[1]R24!H37</f>
        <v>-160</v>
      </c>
      <c r="L27" s="41">
        <f>[1]R24!I37</f>
        <v>-160</v>
      </c>
      <c r="M27" s="42" t="s">
        <v>284</v>
      </c>
      <c r="N27" s="43"/>
    </row>
    <row r="28" spans="1:16" s="17" customFormat="1" ht="14.5" x14ac:dyDescent="0.35">
      <c r="B28" s="25">
        <v>25</v>
      </c>
      <c r="C28" s="26" t="s">
        <v>285</v>
      </c>
      <c r="D28" s="40" t="s">
        <v>286</v>
      </c>
      <c r="E28" s="28" t="s">
        <v>44</v>
      </c>
      <c r="F28" s="39" t="s">
        <v>214</v>
      </c>
      <c r="G28" s="41">
        <f>[1]R25!C37</f>
        <v>6</v>
      </c>
      <c r="H28" s="41">
        <f>[1]R25!D37</f>
        <v>5</v>
      </c>
      <c r="I28" s="41">
        <f>[1]R25!E37</f>
        <v>-6</v>
      </c>
      <c r="J28" s="41">
        <f>[1]R25!G37</f>
        <v>600</v>
      </c>
      <c r="K28" s="41">
        <f>[1]R25!H37</f>
        <v>-1000</v>
      </c>
      <c r="L28" s="41">
        <f>[1]R25!I37</f>
        <v>-1600</v>
      </c>
      <c r="M28" s="42" t="s">
        <v>287</v>
      </c>
      <c r="N28" s="43"/>
    </row>
    <row r="29" spans="1:16" s="49" customFormat="1" ht="14.5" x14ac:dyDescent="0.35">
      <c r="A29" s="17"/>
      <c r="B29" s="25">
        <v>26</v>
      </c>
      <c r="C29" s="26" t="s">
        <v>288</v>
      </c>
      <c r="D29" s="40" t="s">
        <v>289</v>
      </c>
      <c r="E29" s="28" t="s">
        <v>44</v>
      </c>
      <c r="F29" s="39" t="s">
        <v>214</v>
      </c>
      <c r="G29" s="41">
        <f>[1]R26!C37</f>
        <v>1</v>
      </c>
      <c r="H29" s="41">
        <f>[1]R26!D37</f>
        <v>1</v>
      </c>
      <c r="I29" s="41">
        <f>[1]R26!E37</f>
        <v>-2</v>
      </c>
      <c r="J29" s="41">
        <f>[1]R26!G37</f>
        <v>100</v>
      </c>
      <c r="K29" s="41">
        <f>[1]R26!H37</f>
        <v>0</v>
      </c>
      <c r="L29" s="41">
        <f>[1]R26!I37</f>
        <v>-100</v>
      </c>
      <c r="M29" s="42" t="s">
        <v>290</v>
      </c>
      <c r="N29" s="43"/>
      <c r="O29" s="17"/>
      <c r="P29" s="17"/>
    </row>
    <row r="30" spans="1:16" s="17" customFormat="1" ht="14.5" x14ac:dyDescent="0.35">
      <c r="B30" s="25">
        <v>27</v>
      </c>
      <c r="C30" s="26" t="s">
        <v>291</v>
      </c>
      <c r="D30" s="40" t="s">
        <v>292</v>
      </c>
      <c r="E30" s="28" t="s">
        <v>44</v>
      </c>
      <c r="F30" s="39" t="s">
        <v>214</v>
      </c>
      <c r="G30" s="41">
        <f>[1]R27!C37</f>
        <v>0</v>
      </c>
      <c r="H30" s="41">
        <f>[1]R27!D37</f>
        <v>0</v>
      </c>
      <c r="I30" s="41">
        <f>[1]R27!E37</f>
        <v>0</v>
      </c>
      <c r="J30" s="41">
        <f>[1]R27!G37</f>
        <v>0</v>
      </c>
      <c r="K30" s="41">
        <f>[1]R27!H37</f>
        <v>0</v>
      </c>
      <c r="L30" s="41">
        <f>[1]R27!I37</f>
        <v>0</v>
      </c>
      <c r="M30" s="42" t="s">
        <v>293</v>
      </c>
      <c r="N30" s="43"/>
    </row>
    <row r="31" spans="1:16" s="17" customFormat="1" ht="14.5" x14ac:dyDescent="0.35">
      <c r="B31" s="25">
        <v>28</v>
      </c>
      <c r="C31" s="26" t="s">
        <v>294</v>
      </c>
      <c r="D31" s="40" t="s">
        <v>295</v>
      </c>
      <c r="E31" s="28" t="s">
        <v>44</v>
      </c>
      <c r="F31" s="39" t="s">
        <v>214</v>
      </c>
      <c r="G31" s="41">
        <f>[1]R28!C37</f>
        <v>4</v>
      </c>
      <c r="H31" s="41">
        <f>[1]R28!D37</f>
        <v>4</v>
      </c>
      <c r="I31" s="41">
        <f>[1]R28!E37</f>
        <v>-6</v>
      </c>
      <c r="J31" s="41">
        <f>[1]R28!G37</f>
        <v>400</v>
      </c>
      <c r="K31" s="41">
        <f>[1]R28!H37</f>
        <v>0</v>
      </c>
      <c r="L31" s="41">
        <f>[1]R28!I37</f>
        <v>-400</v>
      </c>
      <c r="M31" s="42" t="s">
        <v>296</v>
      </c>
      <c r="N31" s="43"/>
    </row>
    <row r="32" spans="1:16" s="17" customFormat="1" ht="14.5" x14ac:dyDescent="0.35">
      <c r="B32" s="25">
        <v>29</v>
      </c>
      <c r="C32" s="26" t="s">
        <v>297</v>
      </c>
      <c r="D32" s="40" t="s">
        <v>298</v>
      </c>
      <c r="E32" s="28" t="s">
        <v>44</v>
      </c>
      <c r="F32" s="39" t="s">
        <v>214</v>
      </c>
      <c r="G32" s="41">
        <f>[1]R29!C37</f>
        <v>3</v>
      </c>
      <c r="H32" s="41">
        <f>[1]R29!D37</f>
        <v>3</v>
      </c>
      <c r="I32" s="41">
        <f>[1]R29!E37</f>
        <v>-5</v>
      </c>
      <c r="J32" s="41">
        <f>[1]R29!G37</f>
        <v>240</v>
      </c>
      <c r="K32" s="41">
        <f>[1]R29!H37</f>
        <v>-480</v>
      </c>
      <c r="L32" s="41">
        <f>[1]R29!I37</f>
        <v>-720</v>
      </c>
      <c r="M32" s="42" t="s">
        <v>299</v>
      </c>
      <c r="N32" s="43"/>
    </row>
    <row r="33" spans="2:14" s="17" customFormat="1" ht="14.5" x14ac:dyDescent="0.35">
      <c r="B33" s="25">
        <v>30</v>
      </c>
      <c r="C33" s="26" t="s">
        <v>300</v>
      </c>
      <c r="D33" s="40" t="s">
        <v>301</v>
      </c>
      <c r="E33" s="28" t="s">
        <v>44</v>
      </c>
      <c r="F33" s="39" t="s">
        <v>214</v>
      </c>
      <c r="G33" s="41">
        <f>[1]R30!C37</f>
        <v>1</v>
      </c>
      <c r="H33" s="41">
        <f>[1]R30!D37</f>
        <v>1</v>
      </c>
      <c r="I33" s="41">
        <f>[1]R30!E37</f>
        <v>-3</v>
      </c>
      <c r="J33" s="41">
        <f>[1]R30!G37</f>
        <v>100</v>
      </c>
      <c r="K33" s="41">
        <f>[1]R30!H37</f>
        <v>-800</v>
      </c>
      <c r="L33" s="41">
        <f>[1]R30!I37</f>
        <v>-900</v>
      </c>
      <c r="M33" s="45" t="s">
        <v>302</v>
      </c>
      <c r="N33" s="43"/>
    </row>
    <row r="34" spans="2:14" s="17" customFormat="1" ht="14.5" x14ac:dyDescent="0.35">
      <c r="B34" s="50">
        <v>31</v>
      </c>
      <c r="C34" s="44" t="s">
        <v>303</v>
      </c>
      <c r="D34" s="40" t="s">
        <v>304</v>
      </c>
      <c r="E34" s="28" t="s">
        <v>44</v>
      </c>
      <c r="F34" s="39" t="s">
        <v>214</v>
      </c>
      <c r="G34" s="41">
        <f>[1]R31!C37</f>
        <v>2</v>
      </c>
      <c r="H34" s="41">
        <f>[1]R31!D37</f>
        <v>2</v>
      </c>
      <c r="I34" s="41">
        <f>[1]R31!E37</f>
        <v>-1</v>
      </c>
      <c r="J34" s="41">
        <f>[1]R31!G37</f>
        <v>200</v>
      </c>
      <c r="K34" s="41">
        <f>[1]R31!H37</f>
        <v>-320</v>
      </c>
      <c r="L34" s="41">
        <f>[1]R31!I37</f>
        <v>-520</v>
      </c>
      <c r="M34" s="45"/>
      <c r="N34" s="43"/>
    </row>
    <row r="35" spans="2:14" s="17" customFormat="1" ht="14.5" x14ac:dyDescent="0.35">
      <c r="B35" s="50">
        <v>32</v>
      </c>
      <c r="C35" s="44" t="s">
        <v>305</v>
      </c>
      <c r="D35" s="40" t="s">
        <v>306</v>
      </c>
      <c r="E35" s="28" t="s">
        <v>44</v>
      </c>
      <c r="F35" s="39" t="s">
        <v>214</v>
      </c>
      <c r="G35" s="41">
        <f>[1]R32!C37</f>
        <v>2</v>
      </c>
      <c r="H35" s="41">
        <f>[1]R32!D37</f>
        <v>2</v>
      </c>
      <c r="I35" s="41">
        <f>[1]R32!E37</f>
        <v>0</v>
      </c>
      <c r="J35" s="41">
        <f>[1]R32!G37</f>
        <v>200</v>
      </c>
      <c r="K35" s="41">
        <f>[1]R32!H37</f>
        <v>-1200</v>
      </c>
      <c r="L35" s="41">
        <f>[1]R32!I37</f>
        <v>-1400</v>
      </c>
      <c r="M35" s="45"/>
      <c r="N35" s="43"/>
    </row>
    <row r="36" spans="2:14" s="17" customFormat="1" ht="14.5" x14ac:dyDescent="0.35">
      <c r="B36" s="50">
        <v>33</v>
      </c>
      <c r="C36" s="44" t="s">
        <v>307</v>
      </c>
      <c r="D36" s="40" t="s">
        <v>308</v>
      </c>
      <c r="E36" s="28" t="s">
        <v>44</v>
      </c>
      <c r="F36" s="39" t="s">
        <v>214</v>
      </c>
      <c r="G36" s="41">
        <f>[1]R33!C37</f>
        <v>3</v>
      </c>
      <c r="H36" s="41">
        <f>[1]R33!D37</f>
        <v>3</v>
      </c>
      <c r="I36" s="41">
        <f>[1]R33!E37</f>
        <v>-3</v>
      </c>
      <c r="J36" s="41">
        <f>[1]R33!G37</f>
        <v>300</v>
      </c>
      <c r="K36" s="41">
        <f>[1]R33!H37</f>
        <v>-2280</v>
      </c>
      <c r="L36" s="41">
        <f>[1]R33!I37</f>
        <v>-2580</v>
      </c>
      <c r="M36" s="45" t="s">
        <v>309</v>
      </c>
      <c r="N36" s="43"/>
    </row>
    <row r="37" spans="2:14" s="17" customFormat="1" thickBot="1" x14ac:dyDescent="0.4">
      <c r="B37" s="50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42"/>
      <c r="N37" s="43"/>
    </row>
    <row r="38" spans="2:14" s="17" customFormat="1" thickBot="1" x14ac:dyDescent="0.4">
      <c r="B38" s="53"/>
      <c r="C38" s="54"/>
      <c r="D38" s="54"/>
      <c r="E38" s="54"/>
      <c r="F38" s="54"/>
      <c r="G38" s="55">
        <f t="shared" ref="G38:L38" si="0">SUM(G4:G37)</f>
        <v>56</v>
      </c>
      <c r="H38" s="55">
        <f t="shared" si="0"/>
        <v>53</v>
      </c>
      <c r="I38" s="55">
        <f t="shared" si="0"/>
        <v>-100</v>
      </c>
      <c r="J38" s="55">
        <f t="shared" si="0"/>
        <v>5510</v>
      </c>
      <c r="K38" s="55">
        <f t="shared" si="0"/>
        <v>-22340</v>
      </c>
      <c r="L38" s="55">
        <f t="shared" si="0"/>
        <v>-27850</v>
      </c>
      <c r="M38" s="56"/>
      <c r="N38" s="57"/>
    </row>
    <row r="39" spans="2:14" s="17" customFormat="1" ht="14.5" x14ac:dyDescent="0.35"/>
    <row r="40" spans="2:14" s="17" customFormat="1" ht="15" customHeight="1" x14ac:dyDescent="0.35"/>
    <row r="41" spans="2:14" s="17" customFormat="1" ht="15" customHeight="1" x14ac:dyDescent="0.35"/>
    <row r="42" spans="2:14" s="17" customFormat="1" ht="15" customHeight="1" x14ac:dyDescent="0.35"/>
    <row r="43" spans="2:14" s="17" customFormat="1" ht="15" customHeight="1" x14ac:dyDescent="0.35"/>
    <row r="44" spans="2:14" s="17" customFormat="1" ht="15" customHeight="1" x14ac:dyDescent="0.35"/>
    <row r="45" spans="2:14" s="17" customFormat="1" ht="15" customHeight="1" x14ac:dyDescent="0.35"/>
    <row r="46" spans="2:14" s="17" customFormat="1" ht="15" customHeight="1" x14ac:dyDescent="0.35"/>
  </sheetData>
  <autoFilter ref="A3:P36" xr:uid="{7EA884A0-E2FB-497D-A5E5-52C94DA04473}">
    <sortState xmlns:xlrd2="http://schemas.microsoft.com/office/spreadsheetml/2017/richdata2" ref="A4:P36">
      <sortCondition ref="B3:B36"/>
    </sortState>
  </autoFilter>
  <mergeCells count="2">
    <mergeCell ref="B1:N1"/>
    <mergeCell ref="B2:N2"/>
  </mergeCells>
  <conditionalFormatting sqref="B1:B2">
    <cfRule type="expression" dxfId="3" priority="1">
      <formula>B1&lt;&gt;""</formula>
    </cfRule>
    <cfRule type="expression" dxfId="2" priority="2">
      <formula>B1</formula>
    </cfRule>
  </conditionalFormatting>
  <hyperlinks>
    <hyperlink ref="C4" location="'R1'!A1" display="R1" xr:uid="{0130BD0A-FCAD-48BB-A94C-30D5826C7AEB}"/>
    <hyperlink ref="C5" location="'R2'!A1" display="R2" xr:uid="{A52A5059-787D-4C71-9909-75D1D44002E1}"/>
    <hyperlink ref="C6" location="'R3'!A1" display="R3" xr:uid="{15E83F95-DF0D-4F92-BC4C-84709453D07B}"/>
    <hyperlink ref="C7" location="'R4'!A1" display="R4" xr:uid="{933243A9-225D-460A-992A-C6B9A1B7EA36}"/>
    <hyperlink ref="C8" location="'R5'!A1" display="R5" xr:uid="{38A1187A-878B-4A33-BC8A-E6F8A8F4FC7D}"/>
    <hyperlink ref="C9" location="'R6'!A1" display="R6" xr:uid="{C158FFEE-E56F-4CB6-A176-0252857B5B68}"/>
    <hyperlink ref="C13" location="'R10'!A1" display="R10" xr:uid="{53FD7AE0-9A2B-4819-B3F3-DE1EEE3ECF59}"/>
    <hyperlink ref="C17" location="'R14'!A1" display="R14" xr:uid="{B5F17B3D-50C1-4B83-AB59-EF71437798AC}"/>
    <hyperlink ref="C21" location="'R18'!A1" display="R18" xr:uid="{6A8B8B00-6A56-4CAF-8143-D8BBB4D15B3F}"/>
    <hyperlink ref="C25" location="'R22'!A1" display="R22" xr:uid="{271C3546-5F9C-443B-AEF7-40D6FA8050D1}"/>
    <hyperlink ref="C10" location="'R7'!A1" display="R7" xr:uid="{2CE243B1-FAB5-4B75-AA79-399959AE3AD3}"/>
    <hyperlink ref="C14" location="'R11'!A1" display="R11" xr:uid="{49504662-F2BE-489C-8811-CA4EF229F6C9}"/>
    <hyperlink ref="C18" location="'R15'!A1" display="R15" xr:uid="{7337F67D-0C5E-4B9F-93FB-CC09748C6E6F}"/>
    <hyperlink ref="C22" location="'R19'!A1" display="R19" xr:uid="{CB7DF3C2-76F1-4521-A365-E43AA231EB6E}"/>
    <hyperlink ref="C26" location="'R23'!A1" display="R23" xr:uid="{FB9E5B2F-4DD0-4E7A-8FB8-F2180B2C772E}"/>
    <hyperlink ref="C11" location="'R8'!A1" display="R8" xr:uid="{5F4627C0-56E4-4FF8-82D8-DCEA0C2480DE}"/>
    <hyperlink ref="C15" location="'R12'!A1" display="R12" xr:uid="{623A84B7-C145-4244-A593-1819C21C21AA}"/>
    <hyperlink ref="C19" location="'R16'!A1" display="R16" xr:uid="{42F0F397-2FBB-4B1D-8570-AB9A29D4F5AF}"/>
    <hyperlink ref="C23" location="'R20'!A1" display="R20" xr:uid="{4F387AB1-FE40-415A-B1F5-7C4415FB7776}"/>
    <hyperlink ref="C27" location="'R24'!A1" display="R24" xr:uid="{427BE3DF-F89F-44F1-8F89-AAB1089BAFAE}"/>
    <hyperlink ref="C12" location="'R9'!A1" display="R9" xr:uid="{53F863D4-4209-4191-B48C-2F7AE5FEBBDF}"/>
    <hyperlink ref="C16" location="'R13'!A1" display="R13" xr:uid="{67AB470B-B1C1-45BC-A93B-1C210C6BCAEF}"/>
    <hyperlink ref="C20" location="'R17'!A1" display="R17" xr:uid="{0A7C8771-93D2-432C-8B47-4AC905FD9DA7}"/>
    <hyperlink ref="C24" location="'R21'!A1" display="R21" xr:uid="{90415A5F-E884-499D-82FB-779F6468A355}"/>
    <hyperlink ref="C28" location="'R25'!A1" display="R25" xr:uid="{F9F67557-EFDE-4111-A66D-B4E53C98BACC}"/>
    <hyperlink ref="A3" location="Final!A1" display="R" xr:uid="{2DFFC09F-1A24-4D4D-9FD6-1BB694754767}"/>
    <hyperlink ref="C29" location="'R26'!A1" display="R26" xr:uid="{51596001-E879-4A9A-9458-C880B28854AA}"/>
    <hyperlink ref="C30" location="'R27'!A1" display="R27" xr:uid="{F9781B7A-6930-4E58-9621-5382707C5A94}"/>
    <hyperlink ref="C31" location="'R28'!A1" display="R28" xr:uid="{DA27AD17-227A-4723-95A7-DFF7BA8292A6}"/>
    <hyperlink ref="C32" location="'R29'!A1" display="R29" xr:uid="{1646CD5B-047F-48A2-92A4-18C9A8375A58}"/>
    <hyperlink ref="C33" location="'R30'!A1" display="R30" xr:uid="{E9F2498B-7324-4437-B79B-108181B5847C}"/>
    <hyperlink ref="C34" location="'R31'!A1" display="R31" xr:uid="{687090F5-224D-4EAA-A4F3-F70111FE6893}"/>
    <hyperlink ref="C35" location="'R32'!A1" display="R32" xr:uid="{610EDA1A-D123-4FA6-8354-8648E5CB748B}"/>
    <hyperlink ref="C36" location="'R33'!A1" display="R33" xr:uid="{EAF12D2D-D6C7-4B95-8B4E-BFBABF1D0A5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58BE-CD90-433F-9F06-3BC9746BE17B}">
  <sheetPr filterMode="1"/>
  <dimension ref="A1:P102"/>
  <sheetViews>
    <sheetView topLeftCell="A2" zoomScale="90" zoomScaleNormal="90" workbookViewId="0">
      <selection activeCell="D17" sqref="D17"/>
    </sheetView>
  </sheetViews>
  <sheetFormatPr defaultRowHeight="15" customHeight="1" x14ac:dyDescent="0.35"/>
  <cols>
    <col min="2" max="2" width="5.54296875" customWidth="1"/>
    <col min="3" max="3" width="7.54296875" customWidth="1"/>
    <col min="4" max="4" width="20" style="17" bestFit="1" customWidth="1"/>
    <col min="5" max="6" width="20" style="17" customWidth="1"/>
    <col min="7" max="7" width="10.7265625" customWidth="1"/>
    <col min="13" max="13" width="16.36328125" customWidth="1"/>
    <col min="14" max="14" width="17.7265625" bestFit="1" customWidth="1"/>
  </cols>
  <sheetData>
    <row r="1" spans="1:16" ht="31.5" thickBot="1" x14ac:dyDescent="0.4">
      <c r="A1" s="1"/>
      <c r="B1" s="70" t="s">
        <v>0</v>
      </c>
      <c r="C1" s="71"/>
      <c r="D1" s="4"/>
      <c r="E1" s="71"/>
      <c r="F1" s="71"/>
      <c r="G1" s="71"/>
      <c r="H1" s="71"/>
      <c r="I1" s="71"/>
      <c r="J1" s="71"/>
      <c r="K1" s="71"/>
      <c r="L1" s="71"/>
      <c r="M1" s="71"/>
      <c r="N1" s="72"/>
    </row>
    <row r="2" spans="1:16" ht="19" thickBot="1" x14ac:dyDescent="0.4">
      <c r="B2" s="73" t="s">
        <v>210</v>
      </c>
      <c r="C2" s="74"/>
      <c r="D2" s="8"/>
      <c r="E2" s="8"/>
      <c r="F2" s="8"/>
      <c r="G2" s="74"/>
      <c r="H2" s="74"/>
      <c r="I2" s="74"/>
      <c r="J2" s="74"/>
      <c r="K2" s="74"/>
      <c r="L2" s="74"/>
      <c r="M2" s="74"/>
      <c r="N2" s="75"/>
      <c r="P2" s="10">
        <f>G90</f>
        <v>118</v>
      </c>
    </row>
    <row r="3" spans="1:16" ht="62.25" customHeight="1" thickBot="1" x14ac:dyDescent="0.4">
      <c r="A3" s="11" t="s">
        <v>310</v>
      </c>
      <c r="B3" s="76" t="s">
        <v>3</v>
      </c>
      <c r="C3" s="77" t="s">
        <v>4</v>
      </c>
      <c r="D3" s="78" t="s">
        <v>5</v>
      </c>
      <c r="E3" s="14" t="s">
        <v>6</v>
      </c>
      <c r="F3" s="78" t="s">
        <v>7</v>
      </c>
      <c r="G3" s="77" t="s">
        <v>8</v>
      </c>
      <c r="H3" s="77" t="s">
        <v>9</v>
      </c>
      <c r="I3" s="77" t="s">
        <v>10</v>
      </c>
      <c r="J3" s="77" t="s">
        <v>11</v>
      </c>
      <c r="K3" s="77" t="s">
        <v>12</v>
      </c>
      <c r="L3" s="77" t="s">
        <v>13</v>
      </c>
      <c r="M3" s="79" t="s">
        <v>14</v>
      </c>
      <c r="N3" s="80" t="s">
        <v>15</v>
      </c>
    </row>
    <row r="4" spans="1:16" s="17" customFormat="1" ht="14.5" hidden="1" x14ac:dyDescent="0.35">
      <c r="B4" s="81">
        <v>1</v>
      </c>
      <c r="C4" s="82" t="s">
        <v>311</v>
      </c>
      <c r="D4" s="83" t="s">
        <v>312</v>
      </c>
      <c r="E4" s="84" t="s">
        <v>29</v>
      </c>
      <c r="F4" s="83" t="s">
        <v>313</v>
      </c>
      <c r="G4" s="85">
        <f>[1]D1!C37</f>
        <v>1</v>
      </c>
      <c r="H4" s="85">
        <f>[1]D1!D37</f>
        <v>1</v>
      </c>
      <c r="I4" s="85">
        <f>[1]D1!E37</f>
        <v>-3</v>
      </c>
      <c r="J4" s="85">
        <f>[1]D1!G37</f>
        <v>90</v>
      </c>
      <c r="K4" s="85">
        <f>[1]D1!H37</f>
        <v>-1280</v>
      </c>
      <c r="L4" s="85">
        <f>[1]D1!I37</f>
        <v>-1370</v>
      </c>
      <c r="M4" s="86" t="s">
        <v>314</v>
      </c>
      <c r="N4" s="87"/>
    </row>
    <row r="5" spans="1:16" s="17" customFormat="1" ht="14.5" x14ac:dyDescent="0.35">
      <c r="B5" s="88">
        <v>19</v>
      </c>
      <c r="C5" s="26" t="s">
        <v>315</v>
      </c>
      <c r="D5" s="89" t="s">
        <v>316</v>
      </c>
      <c r="E5" s="90" t="s">
        <v>209</v>
      </c>
      <c r="F5" s="91" t="s">
        <v>317</v>
      </c>
      <c r="G5" s="37">
        <f>[1]D19!C37</f>
        <v>5</v>
      </c>
      <c r="H5" s="37">
        <f>[1]D19!D37</f>
        <v>5</v>
      </c>
      <c r="I5" s="37">
        <f>[1]D19!E37</f>
        <v>-3</v>
      </c>
      <c r="J5" s="37">
        <f>[1]D19!G37</f>
        <v>450</v>
      </c>
      <c r="K5" s="37">
        <f>[1]D19!H37</f>
        <v>-4320</v>
      </c>
      <c r="L5" s="37">
        <f>[1]D19!I37</f>
        <v>-4770</v>
      </c>
      <c r="M5" s="92" t="s">
        <v>318</v>
      </c>
      <c r="N5" s="93"/>
    </row>
    <row r="6" spans="1:16" s="17" customFormat="1" ht="14.5" x14ac:dyDescent="0.35">
      <c r="B6" s="88">
        <v>56</v>
      </c>
      <c r="C6" s="26" t="s">
        <v>319</v>
      </c>
      <c r="D6" s="89" t="s">
        <v>320</v>
      </c>
      <c r="E6" s="90" t="s">
        <v>209</v>
      </c>
      <c r="F6" s="91" t="s">
        <v>317</v>
      </c>
      <c r="G6" s="37">
        <f>[1]D56!C37</f>
        <v>5</v>
      </c>
      <c r="H6" s="37">
        <f>[1]D56!D37</f>
        <v>2</v>
      </c>
      <c r="I6" s="37">
        <f>[1]D56!E37</f>
        <v>-6</v>
      </c>
      <c r="J6" s="37">
        <f>[1]D56!G37</f>
        <v>450</v>
      </c>
      <c r="K6" s="37">
        <f>[1]D56!H37</f>
        <v>-21280</v>
      </c>
      <c r="L6" s="37">
        <f>[1]D56!I37</f>
        <v>-21730</v>
      </c>
      <c r="M6" s="92" t="s">
        <v>321</v>
      </c>
      <c r="N6" s="93"/>
    </row>
    <row r="7" spans="1:16" s="17" customFormat="1" ht="14.5" hidden="1" x14ac:dyDescent="0.35">
      <c r="B7" s="88">
        <v>4</v>
      </c>
      <c r="C7" s="26" t="s">
        <v>322</v>
      </c>
      <c r="D7" s="94" t="s">
        <v>323</v>
      </c>
      <c r="E7" s="90" t="s">
        <v>71</v>
      </c>
      <c r="F7" s="91" t="s">
        <v>317</v>
      </c>
      <c r="G7" s="29">
        <f>[1]D4!C37</f>
        <v>0</v>
      </c>
      <c r="H7" s="29">
        <f>[1]D4!D37</f>
        <v>0</v>
      </c>
      <c r="I7" s="29">
        <f>[1]D4!E37</f>
        <v>-4</v>
      </c>
      <c r="J7" s="29">
        <f>[1]D4!G37</f>
        <v>0</v>
      </c>
      <c r="K7" s="29">
        <f>[1]D4!H37</f>
        <v>-1800</v>
      </c>
      <c r="L7" s="29">
        <f>[1]D4!I37</f>
        <v>-1800</v>
      </c>
      <c r="M7" s="95" t="s">
        <v>324</v>
      </c>
      <c r="N7" s="96"/>
    </row>
    <row r="8" spans="1:16" s="17" customFormat="1" ht="14.5" hidden="1" x14ac:dyDescent="0.35">
      <c r="B8" s="88">
        <v>5</v>
      </c>
      <c r="C8" s="26" t="s">
        <v>325</v>
      </c>
      <c r="D8" s="97" t="s">
        <v>326</v>
      </c>
      <c r="E8" s="90" t="s">
        <v>29</v>
      </c>
      <c r="F8" s="91" t="s">
        <v>313</v>
      </c>
      <c r="G8" s="29">
        <f>[1]D5!C37</f>
        <v>2</v>
      </c>
      <c r="H8" s="29">
        <f>[1]D5!D37</f>
        <v>2</v>
      </c>
      <c r="I8" s="29">
        <f>[1]D5!E37</f>
        <v>-3</v>
      </c>
      <c r="J8" s="29">
        <f>[1]D5!G37</f>
        <v>180</v>
      </c>
      <c r="K8" s="29">
        <f>[1]D5!H37</f>
        <v>-1520</v>
      </c>
      <c r="L8" s="29">
        <f>[1]D5!I37</f>
        <v>-1700</v>
      </c>
      <c r="M8" s="30" t="s">
        <v>314</v>
      </c>
      <c r="N8" s="96"/>
    </row>
    <row r="9" spans="1:16" s="17" customFormat="1" ht="14.5" hidden="1" x14ac:dyDescent="0.35">
      <c r="B9" s="88">
        <v>6</v>
      </c>
      <c r="C9" s="26" t="s">
        <v>327</v>
      </c>
      <c r="D9" s="36" t="s">
        <v>328</v>
      </c>
      <c r="E9" s="90" t="s">
        <v>29</v>
      </c>
      <c r="F9" s="91" t="s">
        <v>329</v>
      </c>
      <c r="G9" s="29">
        <f>[1]D6!C37</f>
        <v>1</v>
      </c>
      <c r="H9" s="29">
        <f>[1]D6!D37</f>
        <v>1</v>
      </c>
      <c r="I9" s="29">
        <f>[1]D6!E37</f>
        <v>-6</v>
      </c>
      <c r="J9" s="29">
        <f>[1]D6!G37</f>
        <v>90</v>
      </c>
      <c r="K9" s="29">
        <f>[1]D6!H37</f>
        <v>-2020</v>
      </c>
      <c r="L9" s="29">
        <f>[1]D6!I37</f>
        <v>-2110</v>
      </c>
      <c r="M9" s="30" t="s">
        <v>330</v>
      </c>
      <c r="N9" s="96"/>
    </row>
    <row r="10" spans="1:16" s="17" customFormat="1" ht="14.5" hidden="1" x14ac:dyDescent="0.35">
      <c r="B10" s="88">
        <v>7</v>
      </c>
      <c r="C10" s="26" t="s">
        <v>331</v>
      </c>
      <c r="D10" s="36" t="s">
        <v>332</v>
      </c>
      <c r="E10" s="90" t="s">
        <v>71</v>
      </c>
      <c r="F10" s="91" t="s">
        <v>317</v>
      </c>
      <c r="G10" s="29">
        <f>[1]D7!C37</f>
        <v>1</v>
      </c>
      <c r="H10" s="29">
        <f>[1]D7!D37</f>
        <v>1</v>
      </c>
      <c r="I10" s="29">
        <f>[1]D7!E37</f>
        <v>-2</v>
      </c>
      <c r="J10" s="29">
        <f>[1]D7!G37</f>
        <v>90</v>
      </c>
      <c r="K10" s="29">
        <f>[1]D7!H37</f>
        <v>-960</v>
      </c>
      <c r="L10" s="29">
        <f>[1]D7!I37</f>
        <v>-1050</v>
      </c>
      <c r="M10" s="30" t="s">
        <v>333</v>
      </c>
      <c r="N10" s="96"/>
    </row>
    <row r="11" spans="1:16" s="17" customFormat="1" ht="14.5" hidden="1" x14ac:dyDescent="0.35">
      <c r="B11" s="88">
        <v>8</v>
      </c>
      <c r="C11" s="26" t="s">
        <v>334</v>
      </c>
      <c r="D11" s="36" t="s">
        <v>162</v>
      </c>
      <c r="E11" s="90" t="s">
        <v>29</v>
      </c>
      <c r="F11" s="91" t="s">
        <v>313</v>
      </c>
      <c r="G11" s="29">
        <f>[1]D8!C37</f>
        <v>1</v>
      </c>
      <c r="H11" s="29">
        <f>[1]D8!D37</f>
        <v>1</v>
      </c>
      <c r="I11" s="29">
        <f>[1]D8!E37</f>
        <v>-2</v>
      </c>
      <c r="J11" s="29">
        <f>[1]D8!G37</f>
        <v>90</v>
      </c>
      <c r="K11" s="29">
        <f>[1]D8!H37</f>
        <v>-960</v>
      </c>
      <c r="L11" s="29">
        <f>[1]D8!I37</f>
        <v>-1050</v>
      </c>
      <c r="M11" s="30" t="s">
        <v>335</v>
      </c>
      <c r="N11" s="96" t="s">
        <v>336</v>
      </c>
    </row>
    <row r="12" spans="1:16" s="17" customFormat="1" ht="14.5" hidden="1" x14ac:dyDescent="0.35">
      <c r="B12" s="88">
        <v>9</v>
      </c>
      <c r="C12" s="26" t="s">
        <v>337</v>
      </c>
      <c r="D12" s="36" t="s">
        <v>338</v>
      </c>
      <c r="E12" s="90" t="s">
        <v>71</v>
      </c>
      <c r="F12" s="91" t="s">
        <v>317</v>
      </c>
      <c r="G12" s="29">
        <f>[1]D9!C37</f>
        <v>3</v>
      </c>
      <c r="H12" s="29">
        <f>[1]D9!D37</f>
        <v>3</v>
      </c>
      <c r="I12" s="29">
        <f>[1]D9!E37</f>
        <v>-5</v>
      </c>
      <c r="J12" s="29">
        <f>[1]D9!G37</f>
        <v>270</v>
      </c>
      <c r="K12" s="29">
        <f>[1]D9!H37</f>
        <v>0</v>
      </c>
      <c r="L12" s="29">
        <f>[1]D9!I37</f>
        <v>-270</v>
      </c>
      <c r="M12" s="30" t="s">
        <v>339</v>
      </c>
      <c r="N12" s="96"/>
    </row>
    <row r="13" spans="1:16" s="17" customFormat="1" ht="14.5" hidden="1" x14ac:dyDescent="0.35">
      <c r="B13" s="98">
        <v>10</v>
      </c>
      <c r="C13" s="26" t="s">
        <v>340</v>
      </c>
      <c r="D13" s="36" t="s">
        <v>341</v>
      </c>
      <c r="E13" s="90" t="s">
        <v>29</v>
      </c>
      <c r="F13" s="91" t="s">
        <v>342</v>
      </c>
      <c r="G13" s="29">
        <f>[1]D10!C37</f>
        <v>1</v>
      </c>
      <c r="H13" s="29">
        <f>[1]D10!D37</f>
        <v>1</v>
      </c>
      <c r="I13" s="29">
        <f>[1]D10!E37</f>
        <v>-2</v>
      </c>
      <c r="J13" s="29">
        <f>[1]D10!G37</f>
        <v>90</v>
      </c>
      <c r="K13" s="29">
        <f>[1]D10!H37</f>
        <v>0</v>
      </c>
      <c r="L13" s="29">
        <f>[1]D10!I37</f>
        <v>-90</v>
      </c>
      <c r="M13" s="34" t="s">
        <v>343</v>
      </c>
      <c r="N13" s="99"/>
    </row>
    <row r="14" spans="1:16" s="17" customFormat="1" ht="14.5" hidden="1" x14ac:dyDescent="0.35">
      <c r="B14" s="88">
        <v>11</v>
      </c>
      <c r="C14" s="26" t="s">
        <v>344</v>
      </c>
      <c r="D14" s="36" t="s">
        <v>345</v>
      </c>
      <c r="E14" s="90" t="s">
        <v>71</v>
      </c>
      <c r="F14" s="91" t="s">
        <v>317</v>
      </c>
      <c r="G14" s="37">
        <f>[1]D11!C37</f>
        <v>1</v>
      </c>
      <c r="H14" s="37">
        <f>[1]D11!D37</f>
        <v>1</v>
      </c>
      <c r="I14" s="37">
        <f>[1]D11!E37</f>
        <v>-4</v>
      </c>
      <c r="J14" s="37">
        <f>[1]D11!G37</f>
        <v>90</v>
      </c>
      <c r="K14" s="37">
        <f>[1]D11!H37</f>
        <v>-1920</v>
      </c>
      <c r="L14" s="37">
        <f>[1]D11!I37</f>
        <v>-2010</v>
      </c>
      <c r="M14" s="30" t="s">
        <v>346</v>
      </c>
      <c r="N14" s="99"/>
    </row>
    <row r="15" spans="1:16" s="17" customFormat="1" ht="14.5" hidden="1" x14ac:dyDescent="0.35">
      <c r="B15" s="88">
        <v>12</v>
      </c>
      <c r="C15" s="26" t="s">
        <v>347</v>
      </c>
      <c r="D15" s="36" t="s">
        <v>348</v>
      </c>
      <c r="E15" s="90" t="s">
        <v>18</v>
      </c>
      <c r="F15" s="91" t="s">
        <v>349</v>
      </c>
      <c r="G15" s="37">
        <f>[1]D12!C37</f>
        <v>1</v>
      </c>
      <c r="H15" s="37">
        <f>[1]D12!D37</f>
        <v>1</v>
      </c>
      <c r="I15" s="37">
        <f>[1]D12!E37</f>
        <v>-4</v>
      </c>
      <c r="J15" s="37">
        <f>[1]D12!G37</f>
        <v>90</v>
      </c>
      <c r="K15" s="37">
        <f>[1]D12!H37</f>
        <v>-560</v>
      </c>
      <c r="L15" s="37">
        <f>[1]D12!I37</f>
        <v>-650</v>
      </c>
      <c r="M15" s="36" t="s">
        <v>350</v>
      </c>
      <c r="N15" s="99"/>
    </row>
    <row r="16" spans="1:16" s="17" customFormat="1" ht="14.5" x14ac:dyDescent="0.35">
      <c r="B16" s="88">
        <v>62</v>
      </c>
      <c r="C16" s="26" t="s">
        <v>351</v>
      </c>
      <c r="D16" s="89" t="s">
        <v>352</v>
      </c>
      <c r="E16" s="90" t="s">
        <v>209</v>
      </c>
      <c r="F16" s="100" t="s">
        <v>317</v>
      </c>
      <c r="G16" s="37">
        <f>[1]D62!C37</f>
        <v>5</v>
      </c>
      <c r="H16" s="37">
        <f>[1]D62!D37</f>
        <v>5</v>
      </c>
      <c r="I16" s="37">
        <f>[1]D62!E37</f>
        <v>-4</v>
      </c>
      <c r="J16" s="37">
        <f>[1]D62!G37</f>
        <v>420</v>
      </c>
      <c r="K16" s="37">
        <f>[1]D62!H37</f>
        <v>330</v>
      </c>
      <c r="L16" s="37">
        <f>[1]D62!I37</f>
        <v>-90</v>
      </c>
      <c r="M16" s="36" t="s">
        <v>353</v>
      </c>
      <c r="N16" s="99"/>
    </row>
    <row r="17" spans="2:14" s="17" customFormat="1" ht="14.5" hidden="1" x14ac:dyDescent="0.35">
      <c r="B17" s="88">
        <v>14</v>
      </c>
      <c r="C17" s="26" t="s">
        <v>354</v>
      </c>
      <c r="D17" s="36" t="s">
        <v>355</v>
      </c>
      <c r="E17" s="90" t="s">
        <v>71</v>
      </c>
      <c r="F17" s="91" t="s">
        <v>356</v>
      </c>
      <c r="G17" s="37">
        <f>[1]D14!C37</f>
        <v>2</v>
      </c>
      <c r="H17" s="37">
        <f>[1]D14!D37</f>
        <v>2</v>
      </c>
      <c r="I17" s="37">
        <f>[1]D14!E37</f>
        <v>-4</v>
      </c>
      <c r="J17" s="37">
        <f>[1]D14!G37</f>
        <v>180</v>
      </c>
      <c r="K17" s="37">
        <f>[1]D14!H37</f>
        <v>-1440</v>
      </c>
      <c r="L17" s="37">
        <f>[1]D14!I37</f>
        <v>-1620</v>
      </c>
      <c r="M17" s="36" t="s">
        <v>357</v>
      </c>
      <c r="N17" s="99"/>
    </row>
    <row r="18" spans="2:14" s="17" customFormat="1" ht="14.5" hidden="1" x14ac:dyDescent="0.35">
      <c r="B18" s="88">
        <v>15</v>
      </c>
      <c r="C18" s="26" t="s">
        <v>358</v>
      </c>
      <c r="D18" s="36" t="s">
        <v>359</v>
      </c>
      <c r="E18" s="90" t="s">
        <v>71</v>
      </c>
      <c r="F18" s="91" t="s">
        <v>356</v>
      </c>
      <c r="G18" s="37">
        <f>[1]D15!C37</f>
        <v>0</v>
      </c>
      <c r="H18" s="37">
        <f>[1]D15!D37</f>
        <v>0</v>
      </c>
      <c r="I18" s="37">
        <f>[1]D15!E37</f>
        <v>-2</v>
      </c>
      <c r="J18" s="37">
        <f>[1]D15!G37</f>
        <v>0</v>
      </c>
      <c r="K18" s="37">
        <f>[1]D15!H37</f>
        <v>0</v>
      </c>
      <c r="L18" s="37">
        <f>[1]D15!I37</f>
        <v>0</v>
      </c>
      <c r="M18" s="36" t="s">
        <v>360</v>
      </c>
      <c r="N18" s="99"/>
    </row>
    <row r="19" spans="2:14" s="17" customFormat="1" ht="14.5" hidden="1" x14ac:dyDescent="0.35">
      <c r="B19" s="88">
        <v>16</v>
      </c>
      <c r="C19" s="26" t="s">
        <v>361</v>
      </c>
      <c r="D19" s="42" t="s">
        <v>362</v>
      </c>
      <c r="E19" s="90" t="s">
        <v>71</v>
      </c>
      <c r="F19" s="100" t="s">
        <v>356</v>
      </c>
      <c r="G19" s="41">
        <f>[1]D16!C37</f>
        <v>0</v>
      </c>
      <c r="H19" s="41">
        <f>[1]D16!D37</f>
        <v>0</v>
      </c>
      <c r="I19" s="41">
        <f>[1]D16!E37</f>
        <v>-1</v>
      </c>
      <c r="J19" s="41">
        <f>[1]D16!G37</f>
        <v>0</v>
      </c>
      <c r="K19" s="41">
        <f>[1]D16!H37</f>
        <v>-2700</v>
      </c>
      <c r="L19" s="41">
        <f>[1]D16!I37</f>
        <v>-2700</v>
      </c>
      <c r="M19" s="42"/>
      <c r="N19" s="101"/>
    </row>
    <row r="20" spans="2:14" s="17" customFormat="1" ht="14.5" x14ac:dyDescent="0.35">
      <c r="B20" s="88">
        <v>80</v>
      </c>
      <c r="C20" s="26" t="s">
        <v>363</v>
      </c>
      <c r="D20" s="102" t="s">
        <v>364</v>
      </c>
      <c r="E20" s="90" t="s">
        <v>209</v>
      </c>
      <c r="F20" s="100" t="s">
        <v>317</v>
      </c>
      <c r="G20" s="41">
        <f>[1]D80!C37</f>
        <v>1</v>
      </c>
      <c r="H20" s="41">
        <f>[1]D80!D37</f>
        <v>1</v>
      </c>
      <c r="I20" s="41">
        <f>[1]D80!E37</f>
        <v>-1</v>
      </c>
      <c r="J20" s="41">
        <f>[1]D80!G37</f>
        <v>90</v>
      </c>
      <c r="K20" s="41">
        <f>[1]D80!H37</f>
        <v>90</v>
      </c>
      <c r="L20" s="41">
        <f>[1]D80!I37</f>
        <v>0</v>
      </c>
      <c r="M20" s="42"/>
      <c r="N20" s="101"/>
    </row>
    <row r="21" spans="2:14" s="17" customFormat="1" ht="14.5" hidden="1" x14ac:dyDescent="0.35">
      <c r="B21" s="88">
        <v>18</v>
      </c>
      <c r="C21" s="26" t="s">
        <v>365</v>
      </c>
      <c r="D21" s="42" t="s">
        <v>366</v>
      </c>
      <c r="E21" s="90" t="s">
        <v>29</v>
      </c>
      <c r="F21" s="100" t="s">
        <v>313</v>
      </c>
      <c r="G21" s="41">
        <f>[1]D18!C37</f>
        <v>1</v>
      </c>
      <c r="H21" s="41">
        <f>[1]D18!D37</f>
        <v>1</v>
      </c>
      <c r="I21" s="41">
        <f>[1]D18!E37</f>
        <v>-2</v>
      </c>
      <c r="J21" s="41">
        <f>[1]D18!G37</f>
        <v>90</v>
      </c>
      <c r="K21" s="41">
        <f>[1]D18!H37</f>
        <v>200</v>
      </c>
      <c r="L21" s="41">
        <f>[1]D18!I37</f>
        <v>110</v>
      </c>
      <c r="M21" s="42" t="s">
        <v>367</v>
      </c>
      <c r="N21" s="101"/>
    </row>
    <row r="22" spans="2:14" s="17" customFormat="1" ht="14.5" x14ac:dyDescent="0.35">
      <c r="B22" s="88">
        <v>71</v>
      </c>
      <c r="C22" s="26" t="s">
        <v>368</v>
      </c>
      <c r="D22" s="102" t="s">
        <v>369</v>
      </c>
      <c r="E22" s="90" t="s">
        <v>209</v>
      </c>
      <c r="F22" s="100" t="s">
        <v>370</v>
      </c>
      <c r="G22" s="41">
        <f>[1]D71!C37</f>
        <v>2</v>
      </c>
      <c r="H22" s="41">
        <f>[1]D71!D37</f>
        <v>2</v>
      </c>
      <c r="I22" s="41">
        <f>[1]D71!E37</f>
        <v>-1</v>
      </c>
      <c r="J22" s="41">
        <f>[1]D71!G37</f>
        <v>200</v>
      </c>
      <c r="K22" s="41">
        <f>[1]D71!H37</f>
        <v>-20</v>
      </c>
      <c r="L22" s="41">
        <f>[1]D71!I37</f>
        <v>-220</v>
      </c>
      <c r="M22" s="45"/>
      <c r="N22" s="101"/>
    </row>
    <row r="23" spans="2:14" s="17" customFormat="1" ht="14.5" hidden="1" x14ac:dyDescent="0.35">
      <c r="B23" s="88">
        <v>20</v>
      </c>
      <c r="C23" s="26" t="s">
        <v>371</v>
      </c>
      <c r="D23" s="42" t="s">
        <v>372</v>
      </c>
      <c r="E23" s="90" t="s">
        <v>373</v>
      </c>
      <c r="F23" s="100" t="s">
        <v>349</v>
      </c>
      <c r="G23" s="41">
        <f>[1]D20!C37</f>
        <v>2</v>
      </c>
      <c r="H23" s="41">
        <f>[1]D20!D37</f>
        <v>2</v>
      </c>
      <c r="I23" s="41">
        <f>[1]D20!E37</f>
        <v>-3</v>
      </c>
      <c r="J23" s="41">
        <f>[1]D20!G37</f>
        <v>180</v>
      </c>
      <c r="K23" s="41">
        <f>[1]D20!H37</f>
        <v>-1200</v>
      </c>
      <c r="L23" s="41">
        <f>[1]D20!I37</f>
        <v>-1380</v>
      </c>
      <c r="M23" s="42" t="s">
        <v>374</v>
      </c>
      <c r="N23" s="101"/>
    </row>
    <row r="24" spans="2:14" s="17" customFormat="1" ht="14.5" hidden="1" x14ac:dyDescent="0.35">
      <c r="B24" s="88">
        <v>21</v>
      </c>
      <c r="C24" s="26" t="s">
        <v>375</v>
      </c>
      <c r="D24" s="103" t="s">
        <v>376</v>
      </c>
      <c r="E24" s="90" t="s">
        <v>71</v>
      </c>
      <c r="F24" s="100" t="s">
        <v>356</v>
      </c>
      <c r="G24" s="41">
        <f>[1]D21!C37</f>
        <v>0</v>
      </c>
      <c r="H24" s="41">
        <f>[1]D21!D37</f>
        <v>0</v>
      </c>
      <c r="I24" s="41">
        <f>[1]D21!E37</f>
        <v>-3</v>
      </c>
      <c r="J24" s="41">
        <f>[1]D21!G37</f>
        <v>0</v>
      </c>
      <c r="K24" s="41">
        <f>[1]D21!H37</f>
        <v>-1380</v>
      </c>
      <c r="L24" s="41">
        <f>[1]D21!I37</f>
        <v>-1380</v>
      </c>
      <c r="M24" s="42"/>
      <c r="N24" s="101"/>
    </row>
    <row r="25" spans="2:14" s="17" customFormat="1" ht="14.5" hidden="1" x14ac:dyDescent="0.35">
      <c r="B25" s="88">
        <v>22</v>
      </c>
      <c r="C25" s="26" t="s">
        <v>377</v>
      </c>
      <c r="D25" s="104" t="s">
        <v>378</v>
      </c>
      <c r="E25" s="90" t="s">
        <v>97</v>
      </c>
      <c r="F25" s="100" t="s">
        <v>379</v>
      </c>
      <c r="G25" s="41">
        <f>[1]D22!C37</f>
        <v>0</v>
      </c>
      <c r="H25" s="41">
        <f>[1]D22!D37</f>
        <v>0</v>
      </c>
      <c r="I25" s="41">
        <f>[1]D22!E37</f>
        <v>-3</v>
      </c>
      <c r="J25" s="41">
        <f>[1]D22!G37</f>
        <v>0</v>
      </c>
      <c r="K25" s="41">
        <f>[1]D22!H37</f>
        <v>-1040</v>
      </c>
      <c r="L25" s="41">
        <f>[1]D22!I37</f>
        <v>-1040</v>
      </c>
      <c r="M25" s="42" t="s">
        <v>380</v>
      </c>
      <c r="N25" s="101"/>
    </row>
    <row r="26" spans="2:14" s="17" customFormat="1" ht="14.5" hidden="1" x14ac:dyDescent="0.35">
      <c r="B26" s="88">
        <v>23</v>
      </c>
      <c r="C26" s="26" t="s">
        <v>381</v>
      </c>
      <c r="D26" s="42" t="s">
        <v>382</v>
      </c>
      <c r="E26" s="90" t="s">
        <v>71</v>
      </c>
      <c r="F26" s="100" t="s">
        <v>356</v>
      </c>
      <c r="G26" s="41">
        <f>[1]D23!C37</f>
        <v>2</v>
      </c>
      <c r="H26" s="41">
        <f>[1]D23!D37</f>
        <v>2</v>
      </c>
      <c r="I26" s="41">
        <f>[1]D23!E37</f>
        <v>-2</v>
      </c>
      <c r="J26" s="41">
        <f>[1]D23!G37</f>
        <v>180</v>
      </c>
      <c r="K26" s="41">
        <f>[1]D23!H37</f>
        <v>-720</v>
      </c>
      <c r="L26" s="41">
        <f>[1]D23!I37</f>
        <v>-900</v>
      </c>
      <c r="M26" s="42" t="s">
        <v>383</v>
      </c>
      <c r="N26" s="101"/>
    </row>
    <row r="27" spans="2:14" s="17" customFormat="1" ht="14.5" hidden="1" x14ac:dyDescent="0.35">
      <c r="B27" s="88">
        <v>24</v>
      </c>
      <c r="C27" s="26" t="s">
        <v>384</v>
      </c>
      <c r="D27" s="42" t="s">
        <v>385</v>
      </c>
      <c r="E27" s="90" t="s">
        <v>97</v>
      </c>
      <c r="F27" s="100" t="s">
        <v>386</v>
      </c>
      <c r="G27" s="41">
        <f>[1]D24!C37</f>
        <v>0</v>
      </c>
      <c r="H27" s="41">
        <f>[1]D24!D37</f>
        <v>0</v>
      </c>
      <c r="I27" s="41">
        <f>[1]D24!E37</f>
        <v>-5</v>
      </c>
      <c r="J27" s="41">
        <f>[1]D24!G37</f>
        <v>0</v>
      </c>
      <c r="K27" s="41">
        <f>[1]D24!H37</f>
        <v>-1600</v>
      </c>
      <c r="L27" s="41">
        <f>[1]D24!I37</f>
        <v>-1600</v>
      </c>
      <c r="M27" s="45" t="s">
        <v>387</v>
      </c>
      <c r="N27" s="101"/>
    </row>
    <row r="28" spans="2:14" s="17" customFormat="1" ht="14.5" hidden="1" x14ac:dyDescent="0.35">
      <c r="B28" s="88">
        <v>25</v>
      </c>
      <c r="C28" s="26" t="s">
        <v>388</v>
      </c>
      <c r="D28" s="42" t="s">
        <v>389</v>
      </c>
      <c r="E28" s="90" t="s">
        <v>71</v>
      </c>
      <c r="F28" s="100" t="s">
        <v>390</v>
      </c>
      <c r="G28" s="41">
        <f>[1]D25!C37</f>
        <v>1</v>
      </c>
      <c r="H28" s="41">
        <f>[1]D25!D37</f>
        <v>1</v>
      </c>
      <c r="I28" s="41">
        <f>[1]D25!E37</f>
        <v>-2</v>
      </c>
      <c r="J28" s="41">
        <f>[1]D25!G37</f>
        <v>90</v>
      </c>
      <c r="K28" s="41">
        <f>[1]D25!H37</f>
        <v>0</v>
      </c>
      <c r="L28" s="41">
        <f>[1]D25!I37</f>
        <v>-90</v>
      </c>
      <c r="M28" s="42" t="s">
        <v>391</v>
      </c>
      <c r="N28" s="101"/>
    </row>
    <row r="29" spans="2:14" s="17" customFormat="1" ht="14.5" x14ac:dyDescent="0.35">
      <c r="B29" s="88">
        <v>81</v>
      </c>
      <c r="C29" s="26" t="s">
        <v>392</v>
      </c>
      <c r="D29" s="102" t="s">
        <v>393</v>
      </c>
      <c r="E29" s="90" t="s">
        <v>209</v>
      </c>
      <c r="F29" s="100" t="s">
        <v>370</v>
      </c>
      <c r="G29" s="41">
        <f>[1]D81!C37</f>
        <v>3</v>
      </c>
      <c r="H29" s="41">
        <f>[1]D81!D37</f>
        <v>3</v>
      </c>
      <c r="I29" s="41">
        <f>[1]D81!E37</f>
        <v>0</v>
      </c>
      <c r="J29" s="41">
        <f>[1]D81!G37</f>
        <v>270</v>
      </c>
      <c r="K29" s="41">
        <f>[1]D81!H37</f>
        <v>-1760</v>
      </c>
      <c r="L29" s="41">
        <f>[1]D81!I37</f>
        <v>-2030</v>
      </c>
      <c r="M29" s="42" t="s">
        <v>394</v>
      </c>
      <c r="N29" s="101"/>
    </row>
    <row r="30" spans="2:14" s="17" customFormat="1" ht="14.5" x14ac:dyDescent="0.35">
      <c r="B30" s="88">
        <v>13</v>
      </c>
      <c r="C30" s="26" t="s">
        <v>395</v>
      </c>
      <c r="D30" s="102" t="s">
        <v>396</v>
      </c>
      <c r="E30" s="90" t="s">
        <v>44</v>
      </c>
      <c r="F30" s="100" t="s">
        <v>397</v>
      </c>
      <c r="G30" s="41">
        <f>[1]D13!C37</f>
        <v>2</v>
      </c>
      <c r="H30" s="41">
        <f>[1]D13!D37</f>
        <v>2</v>
      </c>
      <c r="I30" s="41">
        <f>[1]D13!E37</f>
        <v>-3</v>
      </c>
      <c r="J30" s="41">
        <f>[1]D13!G37</f>
        <v>200</v>
      </c>
      <c r="K30" s="41">
        <f>[1]D13!H37</f>
        <v>-320</v>
      </c>
      <c r="L30" s="41">
        <f>[1]D13!I37</f>
        <v>-520</v>
      </c>
      <c r="M30" s="42" t="s">
        <v>398</v>
      </c>
      <c r="N30" s="101"/>
    </row>
    <row r="31" spans="2:14" s="51" customFormat="1" ht="14.5" hidden="1" x14ac:dyDescent="0.35">
      <c r="B31" s="88">
        <v>28</v>
      </c>
      <c r="C31" s="60" t="s">
        <v>399</v>
      </c>
      <c r="D31" s="68" t="s">
        <v>400</v>
      </c>
      <c r="E31" s="105" t="s">
        <v>71</v>
      </c>
      <c r="F31" s="106" t="s">
        <v>317</v>
      </c>
      <c r="G31" s="67">
        <f>[1]D28!C37</f>
        <v>0</v>
      </c>
      <c r="H31" s="67">
        <f>[1]D28!D37</f>
        <v>0</v>
      </c>
      <c r="I31" s="67">
        <f>[1]D28!E37</f>
        <v>-3</v>
      </c>
      <c r="J31" s="67">
        <f>[1]D28!G37</f>
        <v>0</v>
      </c>
      <c r="K31" s="67">
        <f>[1]D28!H37</f>
        <v>-2780</v>
      </c>
      <c r="L31" s="67">
        <f>[1]D28!I37</f>
        <v>-2780</v>
      </c>
      <c r="M31" s="68" t="s">
        <v>401</v>
      </c>
      <c r="N31" s="107"/>
    </row>
    <row r="32" spans="2:14" s="17" customFormat="1" ht="14.5" hidden="1" x14ac:dyDescent="0.35">
      <c r="B32" s="98">
        <v>29</v>
      </c>
      <c r="C32" s="26" t="s">
        <v>402</v>
      </c>
      <c r="D32" s="42" t="s">
        <v>403</v>
      </c>
      <c r="E32" s="90" t="s">
        <v>29</v>
      </c>
      <c r="F32" s="100"/>
      <c r="G32" s="41">
        <f>[1]D29!C37</f>
        <v>2</v>
      </c>
      <c r="H32" s="41">
        <f>[1]D29!D37</f>
        <v>0</v>
      </c>
      <c r="I32" s="41">
        <f>[1]D29!E37</f>
        <v>-2</v>
      </c>
      <c r="J32" s="41">
        <f>[1]D29!G37</f>
        <v>180</v>
      </c>
      <c r="K32" s="41">
        <f>[1]D29!H37</f>
        <v>0</v>
      </c>
      <c r="L32" s="41">
        <f>[1]D29!I37</f>
        <v>-180</v>
      </c>
      <c r="M32" s="42"/>
      <c r="N32" s="101"/>
    </row>
    <row r="33" spans="1:16" s="49" customFormat="1" ht="14.5" hidden="1" x14ac:dyDescent="0.35">
      <c r="A33" s="17"/>
      <c r="B33" s="88">
        <v>30</v>
      </c>
      <c r="C33" s="26" t="s">
        <v>404</v>
      </c>
      <c r="D33" s="42" t="s">
        <v>405</v>
      </c>
      <c r="E33" s="90" t="s">
        <v>373</v>
      </c>
      <c r="F33" s="100" t="s">
        <v>349</v>
      </c>
      <c r="G33" s="41">
        <f>[1]D30!C37</f>
        <v>3</v>
      </c>
      <c r="H33" s="41">
        <f>[1]D30!D37</f>
        <v>3</v>
      </c>
      <c r="I33" s="41">
        <f>[1]D30!E37</f>
        <v>-2</v>
      </c>
      <c r="J33" s="41">
        <f>[1]D30!G37</f>
        <v>300</v>
      </c>
      <c r="K33" s="41">
        <f>[1]D30!H37</f>
        <v>0</v>
      </c>
      <c r="L33" s="41">
        <f>[1]D30!I37</f>
        <v>-300</v>
      </c>
      <c r="M33" s="42" t="s">
        <v>406</v>
      </c>
      <c r="N33" s="101"/>
      <c r="O33" s="17"/>
      <c r="P33" s="17"/>
    </row>
    <row r="34" spans="1:16" s="17" customFormat="1" ht="14.5" hidden="1" x14ac:dyDescent="0.35">
      <c r="B34" s="88">
        <v>31</v>
      </c>
      <c r="C34" s="26" t="s">
        <v>407</v>
      </c>
      <c r="D34" s="42" t="s">
        <v>408</v>
      </c>
      <c r="E34" s="90" t="s">
        <v>29</v>
      </c>
      <c r="F34" s="100" t="s">
        <v>379</v>
      </c>
      <c r="G34" s="41">
        <f>[1]D31!C37</f>
        <v>2</v>
      </c>
      <c r="H34" s="41">
        <f>[1]D31!D37</f>
        <v>2</v>
      </c>
      <c r="I34" s="41">
        <f>[1]D31!E37</f>
        <v>-4</v>
      </c>
      <c r="J34" s="41">
        <f>[1]D31!G37</f>
        <v>180</v>
      </c>
      <c r="K34" s="41">
        <f>[1]D31!H37</f>
        <v>-1440</v>
      </c>
      <c r="L34" s="41">
        <f>[1]D31!I37</f>
        <v>-1620</v>
      </c>
      <c r="M34" s="42" t="s">
        <v>409</v>
      </c>
      <c r="N34" s="101"/>
    </row>
    <row r="35" spans="1:16" s="17" customFormat="1" ht="14.5" x14ac:dyDescent="0.35">
      <c r="B35" s="88">
        <v>26</v>
      </c>
      <c r="C35" s="26" t="s">
        <v>410</v>
      </c>
      <c r="D35" s="102" t="s">
        <v>411</v>
      </c>
      <c r="E35" s="90" t="s">
        <v>44</v>
      </c>
      <c r="F35" s="100" t="s">
        <v>397</v>
      </c>
      <c r="G35" s="41">
        <f>[1]D26!C37</f>
        <v>1</v>
      </c>
      <c r="H35" s="41">
        <f>[1]D26!D37</f>
        <v>1</v>
      </c>
      <c r="I35" s="41">
        <f>[1]D26!E37</f>
        <v>-2</v>
      </c>
      <c r="J35" s="41">
        <f>[1]D26!G37</f>
        <v>100</v>
      </c>
      <c r="K35" s="41">
        <f>[1]D26!H37</f>
        <v>-480</v>
      </c>
      <c r="L35" s="41">
        <f>[1]D26!I37</f>
        <v>-580</v>
      </c>
      <c r="M35" s="42" t="s">
        <v>412</v>
      </c>
      <c r="N35" s="101"/>
    </row>
    <row r="36" spans="1:16" s="17" customFormat="1" ht="14.5" hidden="1" x14ac:dyDescent="0.35">
      <c r="B36" s="88">
        <v>33</v>
      </c>
      <c r="C36" s="26" t="s">
        <v>413</v>
      </c>
      <c r="D36" s="42" t="s">
        <v>414</v>
      </c>
      <c r="E36" s="90" t="s">
        <v>71</v>
      </c>
      <c r="F36" s="100" t="s">
        <v>415</v>
      </c>
      <c r="G36" s="41">
        <f>[1]D33!C37</f>
        <v>2</v>
      </c>
      <c r="H36" s="41">
        <f>[1]D33!D37</f>
        <v>2</v>
      </c>
      <c r="I36" s="41">
        <f>[1]D33!E37</f>
        <v>-3</v>
      </c>
      <c r="J36" s="41">
        <f>[1]D33!G37</f>
        <v>180</v>
      </c>
      <c r="K36" s="41">
        <f>[1]D33!H37</f>
        <v>-2680</v>
      </c>
      <c r="L36" s="41">
        <f>[1]D33!I37</f>
        <v>-2860</v>
      </c>
      <c r="M36" s="42" t="s">
        <v>416</v>
      </c>
      <c r="N36" s="101"/>
    </row>
    <row r="37" spans="1:16" s="17" customFormat="1" ht="14.5" x14ac:dyDescent="0.35">
      <c r="B37" s="88">
        <v>27</v>
      </c>
      <c r="C37" s="26" t="s">
        <v>417</v>
      </c>
      <c r="D37" s="102" t="s">
        <v>418</v>
      </c>
      <c r="E37" s="90" t="s">
        <v>44</v>
      </c>
      <c r="F37" s="100" t="s">
        <v>397</v>
      </c>
      <c r="G37" s="41">
        <f>[1]D27!C37</f>
        <v>2</v>
      </c>
      <c r="H37" s="41">
        <f>[1]D27!D37</f>
        <v>2</v>
      </c>
      <c r="I37" s="41">
        <f>[1]D27!E37</f>
        <v>0</v>
      </c>
      <c r="J37" s="41">
        <f>[1]D27!G37</f>
        <v>200</v>
      </c>
      <c r="K37" s="41">
        <f>[1]D27!H37</f>
        <v>0</v>
      </c>
      <c r="L37" s="41">
        <f>[1]D27!I37</f>
        <v>-200</v>
      </c>
      <c r="M37" s="42"/>
      <c r="N37" s="101"/>
    </row>
    <row r="38" spans="1:16" s="17" customFormat="1" ht="14.5" x14ac:dyDescent="0.35">
      <c r="B38" s="88">
        <v>37</v>
      </c>
      <c r="C38" s="26" t="s">
        <v>419</v>
      </c>
      <c r="D38" s="102" t="s">
        <v>420</v>
      </c>
      <c r="E38" s="90" t="s">
        <v>44</v>
      </c>
      <c r="F38" s="100" t="s">
        <v>397</v>
      </c>
      <c r="G38" s="41">
        <f>[1]D37!C37</f>
        <v>0</v>
      </c>
      <c r="H38" s="41">
        <f>[1]D37!D37</f>
        <v>0</v>
      </c>
      <c r="I38" s="41">
        <f>[1]D37!E37</f>
        <v>-2</v>
      </c>
      <c r="J38" s="41">
        <f>[1]D37!G37</f>
        <v>0</v>
      </c>
      <c r="K38" s="41">
        <f>[1]D37!H37</f>
        <v>-420</v>
      </c>
      <c r="L38" s="41">
        <f>[1]D37!I37</f>
        <v>-420</v>
      </c>
      <c r="M38" s="42" t="s">
        <v>421</v>
      </c>
      <c r="N38" s="101" t="s">
        <v>422</v>
      </c>
    </row>
    <row r="39" spans="1:16" s="17" customFormat="1" ht="14.5" hidden="1" x14ac:dyDescent="0.35">
      <c r="B39" s="88">
        <v>36</v>
      </c>
      <c r="C39" s="26" t="s">
        <v>423</v>
      </c>
      <c r="D39" s="42" t="s">
        <v>424</v>
      </c>
      <c r="E39" s="90" t="s">
        <v>71</v>
      </c>
      <c r="F39" s="100" t="s">
        <v>415</v>
      </c>
      <c r="G39" s="41">
        <f>[1]D36!C37</f>
        <v>2</v>
      </c>
      <c r="H39" s="41">
        <f>[1]D36!D37</f>
        <v>2</v>
      </c>
      <c r="I39" s="41">
        <f>[1]D36!E37</f>
        <v>-2</v>
      </c>
      <c r="J39" s="41">
        <f>[1]D36!G37</f>
        <v>180</v>
      </c>
      <c r="K39" s="41">
        <f>[1]D36!H37</f>
        <v>0</v>
      </c>
      <c r="L39" s="41">
        <f>[1]D36!I37</f>
        <v>-180</v>
      </c>
      <c r="M39" s="42" t="s">
        <v>425</v>
      </c>
      <c r="N39" s="101"/>
    </row>
    <row r="40" spans="1:16" s="17" customFormat="1" ht="14.5" x14ac:dyDescent="0.35">
      <c r="B40" s="88">
        <v>38</v>
      </c>
      <c r="C40" s="26" t="s">
        <v>426</v>
      </c>
      <c r="D40" s="102" t="s">
        <v>427</v>
      </c>
      <c r="E40" s="90" t="s">
        <v>44</v>
      </c>
      <c r="F40" s="100" t="s">
        <v>397</v>
      </c>
      <c r="G40" s="41">
        <f>[1]D38!C37</f>
        <v>0</v>
      </c>
      <c r="H40" s="41">
        <f>[1]D38!D37</f>
        <v>0</v>
      </c>
      <c r="I40" s="41">
        <f>[1]D38!E37</f>
        <v>-1</v>
      </c>
      <c r="J40" s="41">
        <f>[1]D38!G37</f>
        <v>0</v>
      </c>
      <c r="K40" s="41">
        <f>[1]D38!H37</f>
        <v>-160</v>
      </c>
      <c r="L40" s="41">
        <f>[1]D38!I37</f>
        <v>-160</v>
      </c>
      <c r="M40" s="42" t="s">
        <v>428</v>
      </c>
      <c r="N40" s="101"/>
    </row>
    <row r="41" spans="1:16" s="17" customFormat="1" ht="14.5" x14ac:dyDescent="0.35">
      <c r="B41" s="88">
        <v>42</v>
      </c>
      <c r="C41" s="26" t="s">
        <v>429</v>
      </c>
      <c r="D41" s="102" t="s">
        <v>430</v>
      </c>
      <c r="E41" s="90" t="s">
        <v>44</v>
      </c>
      <c r="F41" s="100" t="s">
        <v>397</v>
      </c>
      <c r="G41" s="41">
        <f>[1]D42!C37</f>
        <v>2</v>
      </c>
      <c r="H41" s="41">
        <f>[1]D42!D37</f>
        <v>2</v>
      </c>
      <c r="I41" s="41">
        <f>[1]D42!E37</f>
        <v>-4</v>
      </c>
      <c r="J41" s="41">
        <f>[1]D42!G37</f>
        <v>200</v>
      </c>
      <c r="K41" s="41">
        <f>[1]D42!H37</f>
        <v>-1120</v>
      </c>
      <c r="L41" s="41">
        <f>[1]D42!I37</f>
        <v>-1320</v>
      </c>
      <c r="M41" s="42" t="s">
        <v>431</v>
      </c>
      <c r="N41" s="101"/>
    </row>
    <row r="42" spans="1:16" s="17" customFormat="1" ht="14.5" hidden="1" x14ac:dyDescent="0.35">
      <c r="B42" s="88">
        <v>39</v>
      </c>
      <c r="C42" s="26" t="s">
        <v>432</v>
      </c>
      <c r="D42" s="103" t="s">
        <v>433</v>
      </c>
      <c r="E42" s="90" t="s">
        <v>71</v>
      </c>
      <c r="F42" s="100" t="s">
        <v>356</v>
      </c>
      <c r="G42" s="41">
        <f>[1]D39!C37</f>
        <v>2</v>
      </c>
      <c r="H42" s="41">
        <f>[1]D39!D37</f>
        <v>2</v>
      </c>
      <c r="I42" s="41">
        <f>[1]D39!E37</f>
        <v>-2</v>
      </c>
      <c r="J42" s="41">
        <f>[1]D39!G37</f>
        <v>180</v>
      </c>
      <c r="K42" s="41">
        <f>[1]D39!H37</f>
        <v>-640</v>
      </c>
      <c r="L42" s="41">
        <f>[1]D39!I37</f>
        <v>-820</v>
      </c>
      <c r="M42" s="42" t="s">
        <v>434</v>
      </c>
      <c r="N42" s="101"/>
    </row>
    <row r="43" spans="1:16" s="17" customFormat="1" ht="14.5" hidden="1" x14ac:dyDescent="0.35">
      <c r="B43" s="88">
        <v>40</v>
      </c>
      <c r="C43" s="26" t="s">
        <v>435</v>
      </c>
      <c r="D43" s="103" t="s">
        <v>436</v>
      </c>
      <c r="E43" s="90" t="s">
        <v>71</v>
      </c>
      <c r="F43" s="100" t="s">
        <v>390</v>
      </c>
      <c r="G43" s="41">
        <f>[1]D40!C37</f>
        <v>0</v>
      </c>
      <c r="H43" s="41">
        <f>[1]D40!D37</f>
        <v>0</v>
      </c>
      <c r="I43" s="41">
        <f>[1]D40!E37</f>
        <v>-2</v>
      </c>
      <c r="J43" s="41">
        <f>[1]D40!G37</f>
        <v>0</v>
      </c>
      <c r="K43" s="41">
        <f>[1]D40!H37</f>
        <v>-480</v>
      </c>
      <c r="L43" s="41">
        <f>[1]D40!I37</f>
        <v>-480</v>
      </c>
      <c r="M43" s="42" t="s">
        <v>437</v>
      </c>
      <c r="N43" s="101"/>
    </row>
    <row r="44" spans="1:16" s="17" customFormat="1" ht="14.5" hidden="1" x14ac:dyDescent="0.35">
      <c r="B44" s="88">
        <v>41</v>
      </c>
      <c r="C44" s="26" t="s">
        <v>438</v>
      </c>
      <c r="D44" s="42" t="s">
        <v>439</v>
      </c>
      <c r="E44" s="90" t="s">
        <v>29</v>
      </c>
      <c r="F44" s="100" t="s">
        <v>317</v>
      </c>
      <c r="G44" s="41">
        <f>[1]D41!C37</f>
        <v>3</v>
      </c>
      <c r="H44" s="41">
        <f>[1]D41!D37</f>
        <v>3</v>
      </c>
      <c r="I44" s="41">
        <f>[1]D41!E37</f>
        <v>-2</v>
      </c>
      <c r="J44" s="41">
        <f>[1]D41!G37</f>
        <v>270</v>
      </c>
      <c r="K44" s="41">
        <f>[1]D41!H37</f>
        <v>-1200</v>
      </c>
      <c r="L44" s="41">
        <f>[1]D41!I37</f>
        <v>-1470</v>
      </c>
      <c r="M44" s="42" t="s">
        <v>440</v>
      </c>
      <c r="N44" s="101"/>
    </row>
    <row r="45" spans="1:16" s="17" customFormat="1" ht="14.5" x14ac:dyDescent="0.35">
      <c r="B45" s="88">
        <v>45</v>
      </c>
      <c r="C45" s="26" t="s">
        <v>441</v>
      </c>
      <c r="D45" s="102" t="s">
        <v>442</v>
      </c>
      <c r="E45" s="90" t="s">
        <v>44</v>
      </c>
      <c r="F45" s="100" t="s">
        <v>397</v>
      </c>
      <c r="G45" s="41">
        <f>[1]D45!C37</f>
        <v>1</v>
      </c>
      <c r="H45" s="41">
        <f>[1]D45!D37</f>
        <v>1</v>
      </c>
      <c r="I45" s="41">
        <f>[1]D45!E37</f>
        <v>-3</v>
      </c>
      <c r="J45" s="41">
        <f>[1]D45!G37</f>
        <v>100</v>
      </c>
      <c r="K45" s="41">
        <f>[1]D45!H37</f>
        <v>-880</v>
      </c>
      <c r="L45" s="41">
        <f>[1]D45!I37</f>
        <v>-980</v>
      </c>
      <c r="M45" s="42" t="s">
        <v>443</v>
      </c>
      <c r="N45" s="101"/>
    </row>
    <row r="46" spans="1:16" s="17" customFormat="1" ht="14.5" hidden="1" x14ac:dyDescent="0.35">
      <c r="B46" s="88">
        <v>43</v>
      </c>
      <c r="C46" s="26" t="s">
        <v>444</v>
      </c>
      <c r="D46" s="103" t="s">
        <v>445</v>
      </c>
      <c r="E46" s="90" t="s">
        <v>373</v>
      </c>
      <c r="F46" s="100" t="s">
        <v>349</v>
      </c>
      <c r="G46" s="41">
        <f>[1]D43!C37</f>
        <v>2</v>
      </c>
      <c r="H46" s="41">
        <f>[1]D43!D37</f>
        <v>2</v>
      </c>
      <c r="I46" s="41">
        <f>[1]D43!E37</f>
        <v>-3</v>
      </c>
      <c r="J46" s="41">
        <f>[1]D43!G37</f>
        <v>160</v>
      </c>
      <c r="K46" s="41">
        <f>[1]D43!H37</f>
        <v>-1680</v>
      </c>
      <c r="L46" s="41">
        <f>[1]D43!I37</f>
        <v>-1840</v>
      </c>
      <c r="M46" s="45" t="s">
        <v>446</v>
      </c>
      <c r="N46" s="101"/>
    </row>
    <row r="47" spans="1:16" s="17" customFormat="1" ht="14.5" hidden="1" x14ac:dyDescent="0.35">
      <c r="B47" s="98">
        <v>44</v>
      </c>
      <c r="C47" s="26" t="s">
        <v>447</v>
      </c>
      <c r="D47" s="42" t="s">
        <v>448</v>
      </c>
      <c r="E47" s="90" t="s">
        <v>29</v>
      </c>
      <c r="F47" s="100" t="s">
        <v>449</v>
      </c>
      <c r="G47" s="41">
        <f>[1]D44!C37</f>
        <v>1</v>
      </c>
      <c r="H47" s="41">
        <f>[1]D44!D37</f>
        <v>1</v>
      </c>
      <c r="I47" s="41">
        <f>[1]D44!E37</f>
        <v>0</v>
      </c>
      <c r="J47" s="41">
        <f>[1]D44!G37</f>
        <v>90</v>
      </c>
      <c r="K47" s="41">
        <f>[1]D44!H37</f>
        <v>90</v>
      </c>
      <c r="L47" s="41">
        <f>[1]D44!I37</f>
        <v>0</v>
      </c>
      <c r="M47" s="42"/>
      <c r="N47" s="101"/>
    </row>
    <row r="48" spans="1:16" s="17" customFormat="1" ht="14.5" x14ac:dyDescent="0.35">
      <c r="B48" s="88">
        <v>49</v>
      </c>
      <c r="C48" s="26" t="s">
        <v>450</v>
      </c>
      <c r="D48" s="102" t="s">
        <v>451</v>
      </c>
      <c r="E48" s="90" t="s">
        <v>44</v>
      </c>
      <c r="F48" s="100" t="s">
        <v>397</v>
      </c>
      <c r="G48" s="41">
        <f>[1]D49!C37</f>
        <v>1</v>
      </c>
      <c r="H48" s="41">
        <f>[1]D49!D37</f>
        <v>1</v>
      </c>
      <c r="I48" s="41">
        <f>[1]D49!E37</f>
        <v>-2</v>
      </c>
      <c r="J48" s="41">
        <f>[1]D49!G37</f>
        <v>100</v>
      </c>
      <c r="K48" s="41">
        <f>[1]D49!H37</f>
        <v>-440</v>
      </c>
      <c r="L48" s="41">
        <f>[1]D49!I37</f>
        <v>-540</v>
      </c>
      <c r="M48" s="42"/>
      <c r="N48" s="101"/>
    </row>
    <row r="49" spans="1:16" s="17" customFormat="1" ht="14.5" hidden="1" x14ac:dyDescent="0.35">
      <c r="B49" s="88">
        <v>46</v>
      </c>
      <c r="C49" s="26" t="s">
        <v>452</v>
      </c>
      <c r="D49" s="42" t="s">
        <v>453</v>
      </c>
      <c r="E49" s="90" t="s">
        <v>71</v>
      </c>
      <c r="F49" s="100" t="s">
        <v>356</v>
      </c>
      <c r="G49" s="41">
        <f>[1]D46!C37</f>
        <v>2</v>
      </c>
      <c r="H49" s="41">
        <f>[1]D46!D37</f>
        <v>2</v>
      </c>
      <c r="I49" s="41">
        <f>[1]D46!E37</f>
        <v>-3</v>
      </c>
      <c r="J49" s="41">
        <f>[1]D46!G37</f>
        <v>180</v>
      </c>
      <c r="K49" s="41">
        <f>[1]D46!H37</f>
        <v>-1080</v>
      </c>
      <c r="L49" s="41">
        <f>[1]D46!I37</f>
        <v>-1260</v>
      </c>
      <c r="M49" s="42" t="s">
        <v>454</v>
      </c>
      <c r="N49" s="101" t="s">
        <v>455</v>
      </c>
    </row>
    <row r="50" spans="1:16" s="17" customFormat="1" ht="14.5" hidden="1" x14ac:dyDescent="0.35">
      <c r="B50" s="88">
        <v>47</v>
      </c>
      <c r="C50" s="26" t="s">
        <v>456</v>
      </c>
      <c r="D50" s="42" t="s">
        <v>457</v>
      </c>
      <c r="E50" s="90" t="s">
        <v>71</v>
      </c>
      <c r="F50" s="100" t="s">
        <v>356</v>
      </c>
      <c r="G50" s="41">
        <f>[1]D47!C37</f>
        <v>1</v>
      </c>
      <c r="H50" s="41">
        <f>[1]D47!D37</f>
        <v>1</v>
      </c>
      <c r="I50" s="41">
        <f>[1]D47!E37</f>
        <v>-2</v>
      </c>
      <c r="J50" s="41">
        <f>[1]D47!G37</f>
        <v>90</v>
      </c>
      <c r="K50" s="41">
        <f>[1]D47!H37</f>
        <v>-720</v>
      </c>
      <c r="L50" s="41">
        <f>[1]D47!I37</f>
        <v>-810</v>
      </c>
      <c r="M50" s="42" t="s">
        <v>458</v>
      </c>
      <c r="N50" s="101"/>
    </row>
    <row r="51" spans="1:16" s="17" customFormat="1" ht="14.5" hidden="1" x14ac:dyDescent="0.35">
      <c r="B51" s="88">
        <v>48</v>
      </c>
      <c r="C51" s="26" t="s">
        <v>459</v>
      </c>
      <c r="D51" s="42" t="s">
        <v>460</v>
      </c>
      <c r="E51" s="90" t="s">
        <v>71</v>
      </c>
      <c r="F51" s="100" t="s">
        <v>317</v>
      </c>
      <c r="G51" s="41">
        <f>[1]D48!C37</f>
        <v>1</v>
      </c>
      <c r="H51" s="41">
        <f>[1]D48!D37</f>
        <v>1</v>
      </c>
      <c r="I51" s="41">
        <f>[1]D48!E37</f>
        <v>-3</v>
      </c>
      <c r="J51" s="41">
        <f>[1]D48!G37</f>
        <v>90</v>
      </c>
      <c r="K51" s="41">
        <f>[1]D48!H37</f>
        <v>-480</v>
      </c>
      <c r="L51" s="41">
        <f>[1]D48!I37</f>
        <v>-570</v>
      </c>
      <c r="M51" s="45" t="s">
        <v>461</v>
      </c>
      <c r="N51" s="101"/>
    </row>
    <row r="52" spans="1:16" s="17" customFormat="1" ht="14.5" x14ac:dyDescent="0.35">
      <c r="B52" s="88">
        <v>53</v>
      </c>
      <c r="C52" s="26" t="s">
        <v>462</v>
      </c>
      <c r="D52" s="102" t="s">
        <v>463</v>
      </c>
      <c r="E52" s="90" t="s">
        <v>44</v>
      </c>
      <c r="F52" s="100" t="s">
        <v>397</v>
      </c>
      <c r="G52" s="41">
        <f>[1]D53!C37</f>
        <v>3</v>
      </c>
      <c r="H52" s="41">
        <f>[1]D53!D37</f>
        <v>3</v>
      </c>
      <c r="I52" s="41">
        <f>[1]D53!E37</f>
        <v>-4</v>
      </c>
      <c r="J52" s="41">
        <f>[1]D53!G37</f>
        <v>300</v>
      </c>
      <c r="K52" s="41">
        <f>[1]D53!H37</f>
        <v>-2000</v>
      </c>
      <c r="L52" s="41">
        <f>[1]D53!I37</f>
        <v>-2300</v>
      </c>
      <c r="M52" s="42" t="s">
        <v>464</v>
      </c>
      <c r="N52" s="101"/>
    </row>
    <row r="53" spans="1:16" s="49" customFormat="1" ht="14.5" hidden="1" x14ac:dyDescent="0.35">
      <c r="A53" s="17"/>
      <c r="B53" s="88">
        <v>50</v>
      </c>
      <c r="C53" s="26" t="s">
        <v>465</v>
      </c>
      <c r="D53" s="42" t="s">
        <v>466</v>
      </c>
      <c r="E53" s="90" t="s">
        <v>71</v>
      </c>
      <c r="F53" s="100" t="s">
        <v>356</v>
      </c>
      <c r="G53" s="41">
        <f>[1]D50!C37</f>
        <v>1</v>
      </c>
      <c r="H53" s="41">
        <f>[1]D50!D37</f>
        <v>1</v>
      </c>
      <c r="I53" s="41">
        <f>[1]D50!E37</f>
        <v>-2</v>
      </c>
      <c r="J53" s="41">
        <f>[1]D50!G37</f>
        <v>90</v>
      </c>
      <c r="K53" s="41">
        <f>[1]D50!H37</f>
        <v>0</v>
      </c>
      <c r="L53" s="41">
        <f>[1]D50!I37</f>
        <v>-90</v>
      </c>
      <c r="M53" s="42"/>
      <c r="N53" s="101"/>
      <c r="O53" s="17"/>
      <c r="P53" s="17"/>
    </row>
    <row r="54" spans="1:16" s="49" customFormat="1" ht="14.5" hidden="1" x14ac:dyDescent="0.35">
      <c r="A54" s="17"/>
      <c r="B54" s="88">
        <v>51</v>
      </c>
      <c r="C54" s="26" t="s">
        <v>467</v>
      </c>
      <c r="D54" s="103" t="s">
        <v>468</v>
      </c>
      <c r="E54" s="90" t="s">
        <v>71</v>
      </c>
      <c r="F54" s="100" t="s">
        <v>356</v>
      </c>
      <c r="G54" s="41">
        <f>[1]D51!C37</f>
        <v>0</v>
      </c>
      <c r="H54" s="41">
        <f>[1]D51!D37</f>
        <v>0</v>
      </c>
      <c r="I54" s="41">
        <f>[1]D51!E37</f>
        <v>-4</v>
      </c>
      <c r="J54" s="41">
        <f>[1]D51!G37</f>
        <v>0</v>
      </c>
      <c r="K54" s="41">
        <f>[1]D51!H37</f>
        <v>-1280</v>
      </c>
      <c r="L54" s="41">
        <f>[1]D51!I37</f>
        <v>-1280</v>
      </c>
      <c r="M54" s="42" t="s">
        <v>469</v>
      </c>
      <c r="N54" s="101"/>
      <c r="O54" s="17"/>
      <c r="P54" s="17"/>
    </row>
    <row r="55" spans="1:16" s="108" customFormat="1" ht="14.5" hidden="1" x14ac:dyDescent="0.35">
      <c r="A55" s="17"/>
      <c r="B55" s="88">
        <v>52</v>
      </c>
      <c r="C55" s="26" t="s">
        <v>470</v>
      </c>
      <c r="D55" s="103" t="s">
        <v>471</v>
      </c>
      <c r="E55" s="90" t="s">
        <v>373</v>
      </c>
      <c r="F55" s="100" t="s">
        <v>349</v>
      </c>
      <c r="G55" s="41">
        <f>[1]D52!C37</f>
        <v>2</v>
      </c>
      <c r="H55" s="41">
        <f>[1]D52!D37</f>
        <v>2</v>
      </c>
      <c r="I55" s="41">
        <f>[1]D52!E37</f>
        <v>-2</v>
      </c>
      <c r="J55" s="41">
        <f>[1]D52!G37</f>
        <v>180</v>
      </c>
      <c r="K55" s="41">
        <f>[1]D52!H37</f>
        <v>-880</v>
      </c>
      <c r="L55" s="41">
        <f>[1]D52!I37</f>
        <v>-1060</v>
      </c>
      <c r="M55" s="42" t="s">
        <v>472</v>
      </c>
      <c r="N55" s="101"/>
      <c r="O55" s="17"/>
      <c r="P55" s="17"/>
    </row>
    <row r="56" spans="1:16" s="17" customFormat="1" ht="14.5" x14ac:dyDescent="0.35">
      <c r="B56" s="88">
        <v>54</v>
      </c>
      <c r="C56" s="26" t="s">
        <v>473</v>
      </c>
      <c r="D56" s="102" t="s">
        <v>474</v>
      </c>
      <c r="E56" s="90" t="s">
        <v>44</v>
      </c>
      <c r="F56" s="100" t="s">
        <v>397</v>
      </c>
      <c r="G56" s="41">
        <f>[1]D54!C37</f>
        <v>2</v>
      </c>
      <c r="H56" s="41">
        <f>[1]D54!D37</f>
        <v>2</v>
      </c>
      <c r="I56" s="41">
        <f>[1]D54!E37</f>
        <v>-2</v>
      </c>
      <c r="J56" s="41">
        <f>[1]D54!G37</f>
        <v>200</v>
      </c>
      <c r="K56" s="41">
        <f>[1]D54!H37</f>
        <v>-320</v>
      </c>
      <c r="L56" s="41">
        <f>[1]D54!I37</f>
        <v>-520</v>
      </c>
      <c r="M56" s="42"/>
      <c r="N56" s="101"/>
    </row>
    <row r="57" spans="1:16" s="17" customFormat="1" ht="14.5" x14ac:dyDescent="0.35">
      <c r="B57" s="88">
        <v>75</v>
      </c>
      <c r="C57" s="26" t="s">
        <v>475</v>
      </c>
      <c r="D57" s="102" t="s">
        <v>476</v>
      </c>
      <c r="E57" s="90" t="s">
        <v>44</v>
      </c>
      <c r="F57" s="100" t="s">
        <v>397</v>
      </c>
      <c r="G57" s="41">
        <f>[1]D75!C37</f>
        <v>4</v>
      </c>
      <c r="H57" s="41">
        <f>[1]D75!D37</f>
        <v>4</v>
      </c>
      <c r="I57" s="41">
        <f>[1]D75!E37</f>
        <v>-4</v>
      </c>
      <c r="J57" s="41">
        <f>[1]D75!G37</f>
        <v>400</v>
      </c>
      <c r="K57" s="41">
        <f>[1]D75!H37</f>
        <v>-1680</v>
      </c>
      <c r="L57" s="41">
        <f>[1]D75!I37</f>
        <v>-2080</v>
      </c>
      <c r="M57" s="42" t="s">
        <v>477</v>
      </c>
      <c r="N57" s="101"/>
    </row>
    <row r="58" spans="1:16" s="17" customFormat="1" ht="14.5" hidden="1" x14ac:dyDescent="0.35">
      <c r="B58" s="88">
        <v>55</v>
      </c>
      <c r="C58" s="26" t="s">
        <v>478</v>
      </c>
      <c r="D58" s="104" t="s">
        <v>479</v>
      </c>
      <c r="E58" s="90" t="s">
        <v>29</v>
      </c>
      <c r="F58" s="100" t="s">
        <v>313</v>
      </c>
      <c r="G58" s="41">
        <f>[1]D55!C37</f>
        <v>0</v>
      </c>
      <c r="H58" s="41">
        <f>[1]D55!D37</f>
        <v>0</v>
      </c>
      <c r="I58" s="41">
        <f>[1]D55!E37</f>
        <v>-2</v>
      </c>
      <c r="J58" s="41">
        <f>[1]D55!G37</f>
        <v>0</v>
      </c>
      <c r="K58" s="41">
        <f>[1]D55!H37</f>
        <v>-1040</v>
      </c>
      <c r="L58" s="41">
        <f>[1]D55!I37</f>
        <v>-1040</v>
      </c>
      <c r="M58" s="42" t="s">
        <v>480</v>
      </c>
      <c r="N58" s="101" t="s">
        <v>481</v>
      </c>
    </row>
    <row r="59" spans="1:16" s="17" customFormat="1" ht="14.5" x14ac:dyDescent="0.35">
      <c r="B59" s="88">
        <v>78</v>
      </c>
      <c r="C59" s="26" t="s">
        <v>482</v>
      </c>
      <c r="D59" s="102" t="s">
        <v>483</v>
      </c>
      <c r="E59" s="90" t="s">
        <v>44</v>
      </c>
      <c r="F59" s="100" t="s">
        <v>397</v>
      </c>
      <c r="G59" s="41">
        <f>[1]D78!C37</f>
        <v>1</v>
      </c>
      <c r="H59" s="41">
        <f>[1]D78!D37</f>
        <v>0</v>
      </c>
      <c r="I59" s="41">
        <f>[1]D78!E37</f>
        <v>-1</v>
      </c>
      <c r="J59" s="41">
        <f>[1]D78!G37</f>
        <v>100</v>
      </c>
      <c r="K59" s="41">
        <f>[1]D78!H37</f>
        <v>0</v>
      </c>
      <c r="L59" s="41">
        <f>[1]D78!I37</f>
        <v>-100</v>
      </c>
      <c r="M59" s="42"/>
      <c r="N59" s="101"/>
    </row>
    <row r="60" spans="1:16" s="17" customFormat="1" ht="14.5" hidden="1" x14ac:dyDescent="0.35">
      <c r="B60" s="88">
        <v>57</v>
      </c>
      <c r="C60" s="26" t="s">
        <v>484</v>
      </c>
      <c r="D60" s="103" t="s">
        <v>485</v>
      </c>
      <c r="E60" s="90" t="s">
        <v>71</v>
      </c>
      <c r="F60" s="100" t="s">
        <v>313</v>
      </c>
      <c r="G60" s="41">
        <f>[1]D57!C37</f>
        <v>0</v>
      </c>
      <c r="H60" s="41">
        <f>[1]D57!D37</f>
        <v>0</v>
      </c>
      <c r="I60" s="41">
        <f>[1]D57!E37</f>
        <v>-3</v>
      </c>
      <c r="J60" s="41">
        <f>[1]D57!G37</f>
        <v>0</v>
      </c>
      <c r="K60" s="41">
        <f>[1]D57!H37</f>
        <v>-280</v>
      </c>
      <c r="L60" s="41">
        <f>[1]D57!I37</f>
        <v>-280</v>
      </c>
      <c r="M60" s="42"/>
      <c r="N60" s="101"/>
    </row>
    <row r="61" spans="1:16" s="17" customFormat="1" ht="14.5" hidden="1" x14ac:dyDescent="0.35">
      <c r="B61" s="88">
        <v>58</v>
      </c>
      <c r="C61" s="26" t="s">
        <v>486</v>
      </c>
      <c r="D61" s="42" t="s">
        <v>487</v>
      </c>
      <c r="E61" s="90" t="s">
        <v>71</v>
      </c>
      <c r="F61" s="100" t="s">
        <v>356</v>
      </c>
      <c r="G61" s="41">
        <f>[1]D58!C37</f>
        <v>1</v>
      </c>
      <c r="H61" s="41">
        <f>[1]D58!D37</f>
        <v>1</v>
      </c>
      <c r="I61" s="41">
        <f>[1]D58!E37</f>
        <v>-2</v>
      </c>
      <c r="J61" s="41">
        <f>[1]D58!G37</f>
        <v>90</v>
      </c>
      <c r="K61" s="41">
        <f>[1]D58!H37</f>
        <v>10</v>
      </c>
      <c r="L61" s="41">
        <f>[1]D58!I37</f>
        <v>-80</v>
      </c>
      <c r="M61" s="42" t="s">
        <v>488</v>
      </c>
      <c r="N61" s="101"/>
    </row>
    <row r="62" spans="1:16" s="17" customFormat="1" ht="14.5" hidden="1" x14ac:dyDescent="0.35">
      <c r="B62" s="88">
        <v>59</v>
      </c>
      <c r="C62" s="26" t="s">
        <v>489</v>
      </c>
      <c r="D62" s="104" t="s">
        <v>490</v>
      </c>
      <c r="E62" s="90" t="s">
        <v>18</v>
      </c>
      <c r="F62" s="100" t="s">
        <v>313</v>
      </c>
      <c r="G62" s="41">
        <f>[1]D59!C37</f>
        <v>0</v>
      </c>
      <c r="H62" s="41">
        <f>[1]D59!D37</f>
        <v>0</v>
      </c>
      <c r="I62" s="41">
        <f>[1]D59!E37</f>
        <v>-2</v>
      </c>
      <c r="J62" s="41">
        <f>[1]D59!G37</f>
        <v>0</v>
      </c>
      <c r="K62" s="41">
        <f>[1]D59!H37</f>
        <v>-720</v>
      </c>
      <c r="L62" s="41">
        <f>[1]D59!I37</f>
        <v>-720</v>
      </c>
      <c r="M62" s="42" t="s">
        <v>491</v>
      </c>
      <c r="N62" s="101"/>
    </row>
    <row r="63" spans="1:16" s="17" customFormat="1" ht="14.5" hidden="1" x14ac:dyDescent="0.35">
      <c r="B63" s="88">
        <v>60</v>
      </c>
      <c r="C63" s="26" t="s">
        <v>492</v>
      </c>
      <c r="D63" s="104" t="s">
        <v>493</v>
      </c>
      <c r="E63" s="90" t="s">
        <v>18</v>
      </c>
      <c r="F63" s="100" t="s">
        <v>313</v>
      </c>
      <c r="G63" s="41">
        <f>[1]D60!C37</f>
        <v>0</v>
      </c>
      <c r="H63" s="41">
        <f>[1]D60!D37</f>
        <v>0</v>
      </c>
      <c r="I63" s="41">
        <f>[1]D60!E37</f>
        <v>-1</v>
      </c>
      <c r="J63" s="41">
        <f>[1]D60!G37</f>
        <v>0</v>
      </c>
      <c r="K63" s="41">
        <f>[1]D60!H37</f>
        <v>-320</v>
      </c>
      <c r="L63" s="41">
        <f>[1]D60!I37</f>
        <v>-320</v>
      </c>
      <c r="M63" s="42" t="s">
        <v>491</v>
      </c>
      <c r="N63" s="101"/>
    </row>
    <row r="64" spans="1:16" s="17" customFormat="1" ht="14.5" hidden="1" x14ac:dyDescent="0.35">
      <c r="B64" s="88">
        <v>61</v>
      </c>
      <c r="C64" s="26" t="s">
        <v>494</v>
      </c>
      <c r="D64" s="104" t="s">
        <v>495</v>
      </c>
      <c r="E64" s="90" t="s">
        <v>29</v>
      </c>
      <c r="F64" s="100" t="s">
        <v>317</v>
      </c>
      <c r="G64" s="41">
        <f>[1]D61!C37</f>
        <v>2</v>
      </c>
      <c r="H64" s="41">
        <f>[1]D61!D37</f>
        <v>2</v>
      </c>
      <c r="I64" s="41">
        <f>[1]D61!E37</f>
        <v>-2</v>
      </c>
      <c r="J64" s="41">
        <f>[1]D61!G37</f>
        <v>180</v>
      </c>
      <c r="K64" s="41">
        <f>[1]D61!H37</f>
        <v>-3200</v>
      </c>
      <c r="L64" s="41">
        <f>[1]D61!I37</f>
        <v>-3380</v>
      </c>
      <c r="M64" s="42"/>
      <c r="N64" s="101"/>
    </row>
    <row r="65" spans="2:14" s="17" customFormat="1" ht="14.5" x14ac:dyDescent="0.35">
      <c r="B65" s="88">
        <v>2</v>
      </c>
      <c r="C65" s="26" t="s">
        <v>496</v>
      </c>
      <c r="D65" s="102" t="s">
        <v>497</v>
      </c>
      <c r="E65" s="90" t="s">
        <v>44</v>
      </c>
      <c r="F65" s="100" t="s">
        <v>449</v>
      </c>
      <c r="G65" s="109">
        <f>[1]D2!C37</f>
        <v>1</v>
      </c>
      <c r="H65" s="109">
        <f>[1]D2!D37</f>
        <v>1</v>
      </c>
      <c r="I65" s="109">
        <f>[1]D2!E37</f>
        <v>-3</v>
      </c>
      <c r="J65" s="109">
        <f>[1]D2!G37</f>
        <v>90</v>
      </c>
      <c r="K65" s="109">
        <f>[1]D2!H37</f>
        <v>-720</v>
      </c>
      <c r="L65" s="109">
        <f>[1]D2!I37</f>
        <v>-810</v>
      </c>
      <c r="M65" s="45" t="s">
        <v>498</v>
      </c>
      <c r="N65" s="110"/>
    </row>
    <row r="66" spans="2:14" s="17" customFormat="1" ht="14.5" hidden="1" x14ac:dyDescent="0.35">
      <c r="B66" s="88">
        <v>63</v>
      </c>
      <c r="C66" s="26" t="s">
        <v>499</v>
      </c>
      <c r="D66" s="42" t="s">
        <v>500</v>
      </c>
      <c r="E66" s="90" t="s">
        <v>373</v>
      </c>
      <c r="F66" s="100" t="s">
        <v>349</v>
      </c>
      <c r="G66" s="41">
        <f>[1]D63!C37</f>
        <v>2</v>
      </c>
      <c r="H66" s="41">
        <f>[1]D63!D37</f>
        <v>2</v>
      </c>
      <c r="I66" s="41">
        <f>[1]D63!E37</f>
        <v>-3</v>
      </c>
      <c r="J66" s="41">
        <f>[1]D63!G37</f>
        <v>180</v>
      </c>
      <c r="K66" s="41">
        <f>[1]D63!H37</f>
        <v>0</v>
      </c>
      <c r="L66" s="41">
        <f>[1]D63!I37</f>
        <v>-180</v>
      </c>
      <c r="M66" s="42" t="s">
        <v>501</v>
      </c>
      <c r="N66" s="101" t="s">
        <v>502</v>
      </c>
    </row>
    <row r="67" spans="2:14" s="17" customFormat="1" ht="14.5" hidden="1" x14ac:dyDescent="0.35">
      <c r="B67" s="88">
        <v>64</v>
      </c>
      <c r="C67" s="26" t="s">
        <v>503</v>
      </c>
      <c r="D67" s="103" t="s">
        <v>504</v>
      </c>
      <c r="E67" s="90" t="s">
        <v>71</v>
      </c>
      <c r="F67" s="100" t="s">
        <v>390</v>
      </c>
      <c r="G67" s="41">
        <f>[1]D64!C37</f>
        <v>0</v>
      </c>
      <c r="H67" s="41">
        <f>[1]D64!D37</f>
        <v>0</v>
      </c>
      <c r="I67" s="41">
        <f>[1]D64!E37</f>
        <v>-3</v>
      </c>
      <c r="J67" s="41">
        <f>[1]D64!G37</f>
        <v>0</v>
      </c>
      <c r="K67" s="41">
        <f>[1]D64!H37</f>
        <v>-1960</v>
      </c>
      <c r="L67" s="41">
        <f>[1]D64!I37</f>
        <v>-1960</v>
      </c>
      <c r="M67" s="42" t="s">
        <v>505</v>
      </c>
      <c r="N67" s="101"/>
    </row>
    <row r="68" spans="2:14" s="17" customFormat="1" ht="14.5" hidden="1" x14ac:dyDescent="0.35">
      <c r="B68" s="88">
        <v>65</v>
      </c>
      <c r="C68" s="26" t="s">
        <v>506</v>
      </c>
      <c r="D68" s="42" t="s">
        <v>507</v>
      </c>
      <c r="E68" s="90" t="s">
        <v>71</v>
      </c>
      <c r="F68" s="100" t="s">
        <v>356</v>
      </c>
      <c r="G68" s="41">
        <f>[1]D65!C37</f>
        <v>1</v>
      </c>
      <c r="H68" s="41">
        <f>[1]D65!D37</f>
        <v>1</v>
      </c>
      <c r="I68" s="41">
        <f>[1]D65!E37</f>
        <v>-2</v>
      </c>
      <c r="J68" s="41">
        <f>[1]D65!G37</f>
        <v>90</v>
      </c>
      <c r="K68" s="41">
        <f>[1]D65!H37</f>
        <v>-1120</v>
      </c>
      <c r="L68" s="41">
        <f>[1]D65!I37</f>
        <v>-1210</v>
      </c>
      <c r="M68" s="42" t="s">
        <v>508</v>
      </c>
      <c r="N68" s="101" t="s">
        <v>509</v>
      </c>
    </row>
    <row r="69" spans="2:14" s="17" customFormat="1" ht="14.5" hidden="1" x14ac:dyDescent="0.35">
      <c r="B69" s="88">
        <v>66</v>
      </c>
      <c r="C69" s="26" t="s">
        <v>510</v>
      </c>
      <c r="D69" s="104" t="s">
        <v>511</v>
      </c>
      <c r="E69" s="90" t="s">
        <v>97</v>
      </c>
      <c r="F69" s="100" t="s">
        <v>317</v>
      </c>
      <c r="G69" s="41">
        <f>[1]D66!C37</f>
        <v>0</v>
      </c>
      <c r="H69" s="41">
        <f>[1]D66!D37</f>
        <v>0</v>
      </c>
      <c r="I69" s="41">
        <f>[1]D66!E37</f>
        <v>-2</v>
      </c>
      <c r="J69" s="41">
        <f>[1]D66!G37</f>
        <v>0</v>
      </c>
      <c r="K69" s="41">
        <f>[1]D66!H37</f>
        <v>-400</v>
      </c>
      <c r="L69" s="41">
        <f>[1]D66!I37</f>
        <v>-400</v>
      </c>
      <c r="M69" s="45" t="s">
        <v>512</v>
      </c>
      <c r="N69" s="101" t="s">
        <v>502</v>
      </c>
    </row>
    <row r="70" spans="2:14" s="17" customFormat="1" ht="14.5" hidden="1" x14ac:dyDescent="0.35">
      <c r="B70" s="88">
        <v>67</v>
      </c>
      <c r="C70" s="26" t="s">
        <v>513</v>
      </c>
      <c r="D70" s="42" t="s">
        <v>514</v>
      </c>
      <c r="E70" s="90" t="s">
        <v>71</v>
      </c>
      <c r="F70" s="100" t="s">
        <v>515</v>
      </c>
      <c r="G70" s="41">
        <f>[1]D67!C37</f>
        <v>4</v>
      </c>
      <c r="H70" s="41">
        <f>[1]D67!D37</f>
        <v>4</v>
      </c>
      <c r="I70" s="41">
        <f>[1]D67!E37</f>
        <v>-5</v>
      </c>
      <c r="J70" s="41">
        <f>[1]D67!G37</f>
        <v>360</v>
      </c>
      <c r="K70" s="41">
        <f>[1]D67!H37</f>
        <v>-2240</v>
      </c>
      <c r="L70" s="41">
        <f>[1]D67!I37</f>
        <v>-2600</v>
      </c>
      <c r="M70" s="42" t="s">
        <v>516</v>
      </c>
      <c r="N70" s="101" t="s">
        <v>517</v>
      </c>
    </row>
    <row r="71" spans="2:14" s="17" customFormat="1" ht="14.5" hidden="1" x14ac:dyDescent="0.35">
      <c r="B71" s="88">
        <v>68</v>
      </c>
      <c r="C71" s="26" t="s">
        <v>518</v>
      </c>
      <c r="D71" s="42" t="s">
        <v>519</v>
      </c>
      <c r="E71" s="90" t="s">
        <v>29</v>
      </c>
      <c r="F71" s="100" t="s">
        <v>313</v>
      </c>
      <c r="G71" s="41">
        <f>[1]D68!C37</f>
        <v>1</v>
      </c>
      <c r="H71" s="41">
        <f>[1]D68!D37</f>
        <v>1</v>
      </c>
      <c r="I71" s="41">
        <f>[1]D68!E37</f>
        <v>-1</v>
      </c>
      <c r="J71" s="41">
        <f>[1]D68!G37</f>
        <v>90</v>
      </c>
      <c r="K71" s="41">
        <f>[1]D68!H37</f>
        <v>-780</v>
      </c>
      <c r="L71" s="41">
        <f>[1]D68!I37</f>
        <v>-870</v>
      </c>
      <c r="M71" s="45" t="s">
        <v>520</v>
      </c>
      <c r="N71" s="101"/>
    </row>
    <row r="72" spans="2:14" s="17" customFormat="1" ht="14.5" hidden="1" x14ac:dyDescent="0.35">
      <c r="B72" s="88">
        <v>69</v>
      </c>
      <c r="C72" s="26" t="s">
        <v>521</v>
      </c>
      <c r="D72" s="104" t="s">
        <v>522</v>
      </c>
      <c r="E72" s="90" t="s">
        <v>29</v>
      </c>
      <c r="F72" s="100" t="s">
        <v>317</v>
      </c>
      <c r="G72" s="41">
        <f>[1]D69!C37</f>
        <v>0</v>
      </c>
      <c r="H72" s="41">
        <f>[1]D69!D37</f>
        <v>0</v>
      </c>
      <c r="I72" s="41">
        <f>[1]D69!E37</f>
        <v>-1</v>
      </c>
      <c r="J72" s="41">
        <f>[1]D69!G37</f>
        <v>0</v>
      </c>
      <c r="K72" s="41">
        <f>[1]D69!H37</f>
        <v>-640</v>
      </c>
      <c r="L72" s="41">
        <f>[1]D69!I37</f>
        <v>-640</v>
      </c>
      <c r="M72" s="45" t="s">
        <v>523</v>
      </c>
      <c r="N72" s="101" t="s">
        <v>481</v>
      </c>
    </row>
    <row r="73" spans="2:14" s="17" customFormat="1" ht="14.5" hidden="1" x14ac:dyDescent="0.35">
      <c r="B73" s="88">
        <v>70</v>
      </c>
      <c r="C73" s="26" t="s">
        <v>524</v>
      </c>
      <c r="D73" s="42" t="s">
        <v>525</v>
      </c>
      <c r="E73" s="90" t="s">
        <v>71</v>
      </c>
      <c r="F73" s="100" t="s">
        <v>356</v>
      </c>
      <c r="G73" s="41">
        <f>[1]D70!C37</f>
        <v>1</v>
      </c>
      <c r="H73" s="41">
        <f>[1]D70!D37</f>
        <v>1</v>
      </c>
      <c r="I73" s="41">
        <f>[1]D70!E37</f>
        <v>-1</v>
      </c>
      <c r="J73" s="41">
        <f>[1]D70!G37</f>
        <v>90</v>
      </c>
      <c r="K73" s="41">
        <f>[1]D70!H37</f>
        <v>-1280</v>
      </c>
      <c r="L73" s="41">
        <f>[1]D70!I37</f>
        <v>-1370</v>
      </c>
      <c r="M73" s="45" t="s">
        <v>526</v>
      </c>
      <c r="N73" s="101"/>
    </row>
    <row r="74" spans="2:14" s="17" customFormat="1" ht="14.5" x14ac:dyDescent="0.35">
      <c r="B74" s="88">
        <v>3</v>
      </c>
      <c r="C74" s="26" t="s">
        <v>527</v>
      </c>
      <c r="D74" s="102" t="s">
        <v>528</v>
      </c>
      <c r="E74" s="90" t="s">
        <v>44</v>
      </c>
      <c r="F74" s="100" t="s">
        <v>449</v>
      </c>
      <c r="G74" s="109">
        <f>[1]D3!C37</f>
        <v>3</v>
      </c>
      <c r="H74" s="109">
        <f>[1]D3!D37</f>
        <v>3</v>
      </c>
      <c r="I74" s="109">
        <f>[1]D3!E37</f>
        <v>-4</v>
      </c>
      <c r="J74" s="109">
        <f>[1]D3!G37</f>
        <v>270</v>
      </c>
      <c r="K74" s="109">
        <f>[1]D3!H37</f>
        <v>-1040</v>
      </c>
      <c r="L74" s="109">
        <f>[1]D3!I37</f>
        <v>-1310</v>
      </c>
      <c r="M74" s="45" t="s">
        <v>529</v>
      </c>
      <c r="N74" s="110"/>
    </row>
    <row r="75" spans="2:14" s="17" customFormat="1" ht="14.5" hidden="1" x14ac:dyDescent="0.35">
      <c r="B75" s="88">
        <v>72</v>
      </c>
      <c r="C75" s="26" t="s">
        <v>530</v>
      </c>
      <c r="D75" s="42" t="s">
        <v>531</v>
      </c>
      <c r="E75" s="90" t="s">
        <v>29</v>
      </c>
      <c r="F75" s="100" t="s">
        <v>317</v>
      </c>
      <c r="G75" s="41">
        <f>[1]D72!C37</f>
        <v>1</v>
      </c>
      <c r="H75" s="41">
        <f>[1]D72!D37</f>
        <v>1</v>
      </c>
      <c r="I75" s="41">
        <f>[1]D72!E37</f>
        <v>-1</v>
      </c>
      <c r="J75" s="41">
        <f>[1]D72!G37</f>
        <v>90</v>
      </c>
      <c r="K75" s="41">
        <f>[1]D72!H37</f>
        <v>0</v>
      </c>
      <c r="L75" s="41">
        <f>[1]D72!I37</f>
        <v>-90</v>
      </c>
      <c r="M75" s="45"/>
      <c r="N75" s="101"/>
    </row>
    <row r="76" spans="2:14" s="17" customFormat="1" ht="14.5" hidden="1" x14ac:dyDescent="0.35">
      <c r="B76" s="111">
        <v>73</v>
      </c>
      <c r="C76" s="44" t="s">
        <v>532</v>
      </c>
      <c r="D76" s="42" t="s">
        <v>533</v>
      </c>
      <c r="E76" s="90" t="s">
        <v>29</v>
      </c>
      <c r="F76" s="100" t="s">
        <v>449</v>
      </c>
      <c r="G76" s="41">
        <f>[1]D73!C37</f>
        <v>2</v>
      </c>
      <c r="H76" s="41">
        <f>[1]D73!D37</f>
        <v>2</v>
      </c>
      <c r="I76" s="41">
        <f>[1]D73!E37</f>
        <v>-2</v>
      </c>
      <c r="J76" s="41">
        <f>[1]D73!G37</f>
        <v>180</v>
      </c>
      <c r="K76" s="41">
        <f>[1]D73!H37</f>
        <v>180</v>
      </c>
      <c r="L76" s="41">
        <f>[1]D73!I37</f>
        <v>0</v>
      </c>
      <c r="M76" s="42"/>
      <c r="N76" s="101"/>
    </row>
    <row r="77" spans="2:14" s="17" customFormat="1" ht="14.5" hidden="1" x14ac:dyDescent="0.35">
      <c r="B77" s="112">
        <v>74</v>
      </c>
      <c r="C77" s="113" t="s">
        <v>534</v>
      </c>
      <c r="D77" s="97" t="s">
        <v>535</v>
      </c>
      <c r="E77" s="90" t="s">
        <v>71</v>
      </c>
      <c r="F77" s="100" t="s">
        <v>317</v>
      </c>
      <c r="G77" s="114">
        <f>[1]D74!C37</f>
        <v>3</v>
      </c>
      <c r="H77" s="114">
        <f>[1]D74!D37</f>
        <v>3</v>
      </c>
      <c r="I77" s="114">
        <f>[1]D74!E37</f>
        <v>-2</v>
      </c>
      <c r="J77" s="114">
        <f>[1]D74!G37</f>
        <v>270</v>
      </c>
      <c r="K77" s="114">
        <f>[1]D74!H37</f>
        <v>1360</v>
      </c>
      <c r="L77" s="114">
        <f>[1]D74!I37</f>
        <v>1090</v>
      </c>
      <c r="M77" s="90" t="s">
        <v>536</v>
      </c>
      <c r="N77" s="115"/>
    </row>
    <row r="78" spans="2:14" s="17" customFormat="1" ht="14.5" x14ac:dyDescent="0.35">
      <c r="B78" s="112">
        <v>17</v>
      </c>
      <c r="C78" s="113" t="s">
        <v>537</v>
      </c>
      <c r="D78" s="116" t="s">
        <v>538</v>
      </c>
      <c r="E78" s="90" t="s">
        <v>44</v>
      </c>
      <c r="F78" s="117" t="s">
        <v>449</v>
      </c>
      <c r="G78" s="114">
        <f>[1]D17!C37</f>
        <v>2</v>
      </c>
      <c r="H78" s="114">
        <f>[1]D17!D37</f>
        <v>2</v>
      </c>
      <c r="I78" s="114">
        <f>[1]D17!E37</f>
        <v>-3</v>
      </c>
      <c r="J78" s="114">
        <f>[1]D17!G37</f>
        <v>180</v>
      </c>
      <c r="K78" s="114">
        <f>[1]D17!H37</f>
        <v>-880</v>
      </c>
      <c r="L78" s="114">
        <f>[1]D17!I37</f>
        <v>-1060</v>
      </c>
      <c r="M78" s="118"/>
      <c r="N78" s="115"/>
    </row>
    <row r="79" spans="2:14" s="17" customFormat="1" ht="14.5" hidden="1" x14ac:dyDescent="0.35">
      <c r="B79" s="112">
        <v>76</v>
      </c>
      <c r="C79" s="113" t="s">
        <v>539</v>
      </c>
      <c r="D79" s="119" t="s">
        <v>540</v>
      </c>
      <c r="E79" s="90" t="s">
        <v>29</v>
      </c>
      <c r="F79" s="117" t="s">
        <v>317</v>
      </c>
      <c r="G79" s="114">
        <f>[1]D76!C37</f>
        <v>0</v>
      </c>
      <c r="H79" s="114">
        <f>[1]D76!D37</f>
        <v>0</v>
      </c>
      <c r="I79" s="114">
        <f>[1]D76!E37</f>
        <v>0</v>
      </c>
      <c r="J79" s="114">
        <f>[1]D76!G37</f>
        <v>0</v>
      </c>
      <c r="K79" s="114">
        <f>[1]D76!H37</f>
        <v>-720</v>
      </c>
      <c r="L79" s="114">
        <f>[1]D76!I37</f>
        <v>-720</v>
      </c>
      <c r="M79" s="120" t="s">
        <v>541</v>
      </c>
      <c r="N79" s="115"/>
    </row>
    <row r="80" spans="2:14" s="17" customFormat="1" ht="14.5" hidden="1" x14ac:dyDescent="0.35">
      <c r="B80" s="112">
        <v>77</v>
      </c>
      <c r="C80" s="113" t="s">
        <v>542</v>
      </c>
      <c r="D80" s="97" t="s">
        <v>543</v>
      </c>
      <c r="E80" s="90" t="s">
        <v>71</v>
      </c>
      <c r="F80" s="117" t="s">
        <v>390</v>
      </c>
      <c r="G80" s="114">
        <f>[1]D77!C37</f>
        <v>1</v>
      </c>
      <c r="H80" s="114">
        <f>[1]D77!D37</f>
        <v>1</v>
      </c>
      <c r="I80" s="114">
        <f>[1]D77!E37</f>
        <v>-3</v>
      </c>
      <c r="J80" s="114">
        <f>[1]D77!G37</f>
        <v>90</v>
      </c>
      <c r="K80" s="114">
        <f>[1]D77!H37</f>
        <v>-720</v>
      </c>
      <c r="L80" s="114">
        <f>[1]D77!I37</f>
        <v>-810</v>
      </c>
      <c r="M80" s="90" t="s">
        <v>544</v>
      </c>
      <c r="N80" s="115"/>
    </row>
    <row r="81" spans="1:16" s="49" customFormat="1" ht="14.5" x14ac:dyDescent="0.35">
      <c r="A81" s="17"/>
      <c r="B81" s="121">
        <v>32</v>
      </c>
      <c r="C81" s="122" t="s">
        <v>545</v>
      </c>
      <c r="D81" s="123" t="s">
        <v>546</v>
      </c>
      <c r="E81" s="90" t="s">
        <v>44</v>
      </c>
      <c r="F81" s="124" t="s">
        <v>449</v>
      </c>
      <c r="G81" s="114">
        <f>[1]D32!C37</f>
        <v>0</v>
      </c>
      <c r="H81" s="114">
        <f>[1]D32!D37</f>
        <v>0</v>
      </c>
      <c r="I81" s="114">
        <f>[1]D32!E37</f>
        <v>-2</v>
      </c>
      <c r="J81" s="114">
        <f>[1]D32!G37</f>
        <v>0</v>
      </c>
      <c r="K81" s="114">
        <f>[1]D32!H37</f>
        <v>-800</v>
      </c>
      <c r="L81" s="114">
        <f>[1]D32!I37</f>
        <v>-800</v>
      </c>
      <c r="M81" s="118" t="s">
        <v>547</v>
      </c>
      <c r="N81" s="125"/>
      <c r="O81" s="17"/>
      <c r="P81" s="17"/>
    </row>
    <row r="82" spans="1:16" s="17" customFormat="1" ht="14.5" x14ac:dyDescent="0.35">
      <c r="B82" s="121">
        <v>34</v>
      </c>
      <c r="C82" s="122" t="s">
        <v>548</v>
      </c>
      <c r="D82" s="123" t="s">
        <v>549</v>
      </c>
      <c r="E82" s="90" t="s">
        <v>209</v>
      </c>
      <c r="F82" s="124" t="s">
        <v>449</v>
      </c>
      <c r="G82" s="114">
        <f>[1]D34!C37</f>
        <v>2</v>
      </c>
      <c r="H82" s="114">
        <f>[1]D34!D37</f>
        <v>2</v>
      </c>
      <c r="I82" s="114">
        <f>[1]D34!E37</f>
        <v>0</v>
      </c>
      <c r="J82" s="114">
        <f>[1]D34!G37</f>
        <v>170</v>
      </c>
      <c r="K82" s="114">
        <f>[1]D34!H37</f>
        <v>-1660</v>
      </c>
      <c r="L82" s="114">
        <f>[1]D34!I37</f>
        <v>-1830</v>
      </c>
      <c r="M82" s="118"/>
      <c r="N82" s="125" t="s">
        <v>550</v>
      </c>
      <c r="O82" s="46">
        <v>45931</v>
      </c>
    </row>
    <row r="83" spans="1:16" s="17" customFormat="1" ht="14.5" x14ac:dyDescent="0.35">
      <c r="B83" s="121">
        <v>79</v>
      </c>
      <c r="C83" s="122" t="s">
        <v>551</v>
      </c>
      <c r="D83" s="123" t="s">
        <v>552</v>
      </c>
      <c r="E83" s="90" t="s">
        <v>44</v>
      </c>
      <c r="F83" s="124" t="s">
        <v>449</v>
      </c>
      <c r="G83" s="114">
        <f>[1]D79!C37</f>
        <v>0</v>
      </c>
      <c r="H83" s="114">
        <f>[1]D79!D37</f>
        <v>0</v>
      </c>
      <c r="I83" s="114">
        <f>[1]D79!E37</f>
        <v>-2</v>
      </c>
      <c r="J83" s="114">
        <f>[1]D79!G37</f>
        <v>0</v>
      </c>
      <c r="K83" s="114">
        <f>[1]D79!H37</f>
        <v>-720</v>
      </c>
      <c r="L83" s="114">
        <f>[1]D79!I37</f>
        <v>-720</v>
      </c>
      <c r="M83" s="118" t="s">
        <v>553</v>
      </c>
      <c r="N83" s="125"/>
    </row>
    <row r="84" spans="1:16" s="17" customFormat="1" ht="14.5" x14ac:dyDescent="0.35">
      <c r="B84" s="121">
        <v>35</v>
      </c>
      <c r="C84" s="122" t="s">
        <v>554</v>
      </c>
      <c r="D84" s="123" t="s">
        <v>555</v>
      </c>
      <c r="E84" s="90" t="s">
        <v>44</v>
      </c>
      <c r="F84" s="124" t="s">
        <v>313</v>
      </c>
      <c r="G84" s="114">
        <f>[1]D35!C37</f>
        <v>2</v>
      </c>
      <c r="H84" s="114">
        <f>[1]D35!D37</f>
        <v>2</v>
      </c>
      <c r="I84" s="114">
        <f>[1]D35!E37</f>
        <v>-2</v>
      </c>
      <c r="J84" s="114">
        <f>[1]D35!G37</f>
        <v>180</v>
      </c>
      <c r="K84" s="114">
        <f>[1]D35!H37</f>
        <v>-800</v>
      </c>
      <c r="L84" s="114">
        <f>[1]D35!I37</f>
        <v>-980</v>
      </c>
      <c r="M84" s="118" t="s">
        <v>556</v>
      </c>
      <c r="N84" s="125"/>
    </row>
    <row r="85" spans="1:16" s="17" customFormat="1" ht="14.5" hidden="1" x14ac:dyDescent="0.35">
      <c r="B85" s="121">
        <v>82</v>
      </c>
      <c r="C85" s="122" t="s">
        <v>557</v>
      </c>
      <c r="D85" s="126" t="s">
        <v>558</v>
      </c>
      <c r="E85" s="90" t="s">
        <v>71</v>
      </c>
      <c r="F85" s="124" t="s">
        <v>356</v>
      </c>
      <c r="G85" s="114">
        <f>[1]D82!C37</f>
        <v>2</v>
      </c>
      <c r="H85" s="114">
        <f>[1]D82!D37</f>
        <v>2</v>
      </c>
      <c r="I85" s="114">
        <f>[1]D82!E37</f>
        <v>0</v>
      </c>
      <c r="J85" s="114">
        <f>[1]D82!G37</f>
        <v>180</v>
      </c>
      <c r="K85" s="114">
        <f>[1]D82!H37</f>
        <v>-240</v>
      </c>
      <c r="L85" s="114">
        <f>[1]D82!I37</f>
        <v>-420</v>
      </c>
      <c r="M85" s="118"/>
      <c r="N85" s="125"/>
    </row>
    <row r="86" spans="1:16" s="17" customFormat="1" ht="14.5" hidden="1" x14ac:dyDescent="0.35">
      <c r="B86" s="121">
        <v>83</v>
      </c>
      <c r="C86" s="122" t="s">
        <v>559</v>
      </c>
      <c r="D86" s="126" t="s">
        <v>560</v>
      </c>
      <c r="E86" s="90" t="s">
        <v>29</v>
      </c>
      <c r="F86" s="124" t="s">
        <v>317</v>
      </c>
      <c r="G86" s="114">
        <f>[1]D83!C37</f>
        <v>1</v>
      </c>
      <c r="H86" s="114">
        <f>[1]D83!D37</f>
        <v>1</v>
      </c>
      <c r="I86" s="114">
        <f>[1]D83!E37</f>
        <v>0</v>
      </c>
      <c r="J86" s="114">
        <f>[1]D83!G37</f>
        <v>90</v>
      </c>
      <c r="K86" s="114">
        <f>[1]D83!H37</f>
        <v>-240</v>
      </c>
      <c r="L86" s="114">
        <f>[1]D83!I37</f>
        <v>-330</v>
      </c>
      <c r="M86" s="118"/>
      <c r="N86" s="125"/>
    </row>
    <row r="87" spans="1:16" s="17" customFormat="1" ht="14.5" hidden="1" x14ac:dyDescent="0.35">
      <c r="B87" s="127">
        <v>84</v>
      </c>
      <c r="C87" s="122" t="s">
        <v>561</v>
      </c>
      <c r="D87" s="126"/>
      <c r="E87" s="90"/>
      <c r="F87" s="124"/>
      <c r="G87" s="128"/>
      <c r="H87" s="128"/>
      <c r="I87" s="128"/>
      <c r="J87" s="128"/>
      <c r="K87" s="128"/>
      <c r="L87" s="128"/>
      <c r="M87" s="118"/>
      <c r="N87" s="125"/>
    </row>
    <row r="88" spans="1:16" s="17" customFormat="1" ht="14.5" hidden="1" x14ac:dyDescent="0.35">
      <c r="B88" s="127">
        <v>85</v>
      </c>
      <c r="C88" s="122" t="s">
        <v>562</v>
      </c>
      <c r="D88" s="118"/>
      <c r="E88" s="31"/>
      <c r="F88" s="118"/>
      <c r="G88" s="128"/>
      <c r="H88" s="128"/>
      <c r="I88" s="128"/>
      <c r="J88" s="128"/>
      <c r="K88" s="128"/>
      <c r="L88" s="128"/>
      <c r="M88" s="118"/>
      <c r="N88" s="125"/>
    </row>
    <row r="89" spans="1:16" s="17" customFormat="1" hidden="1" thickBot="1" x14ac:dyDescent="0.4">
      <c r="B89" s="129"/>
      <c r="C89" s="130"/>
      <c r="D89" s="131"/>
      <c r="E89" s="131"/>
      <c r="F89" s="131"/>
      <c r="G89" s="132"/>
      <c r="H89" s="132"/>
      <c r="I89" s="132"/>
      <c r="J89" s="132"/>
      <c r="K89" s="132"/>
      <c r="L89" s="132"/>
      <c r="M89" s="131"/>
      <c r="N89" s="133"/>
    </row>
    <row r="90" spans="1:16" s="17" customFormat="1" hidden="1" thickBot="1" x14ac:dyDescent="0.4">
      <c r="B90" s="134"/>
      <c r="C90" s="135"/>
      <c r="D90" s="135"/>
      <c r="E90" s="135"/>
      <c r="F90" s="135"/>
      <c r="G90" s="136">
        <f t="shared" ref="G90:L90" si="0">SUM(G4:G89)</f>
        <v>118</v>
      </c>
      <c r="H90" s="136">
        <f t="shared" si="0"/>
        <v>112</v>
      </c>
      <c r="I90" s="136">
        <f t="shared" si="0"/>
        <v>-200</v>
      </c>
      <c r="J90" s="136">
        <f t="shared" si="0"/>
        <v>10800</v>
      </c>
      <c r="K90" s="136">
        <f t="shared" si="0"/>
        <v>-91900</v>
      </c>
      <c r="L90" s="136">
        <f t="shared" si="0"/>
        <v>-102700</v>
      </c>
      <c r="M90" s="137"/>
      <c r="N90" s="138"/>
    </row>
    <row r="91" spans="1:16" s="17" customFormat="1" ht="14.5" x14ac:dyDescent="0.35"/>
    <row r="92" spans="1:16" s="17" customFormat="1" ht="15" customHeight="1" x14ac:dyDescent="0.35"/>
    <row r="93" spans="1:16" s="17" customFormat="1" ht="15" customHeight="1" x14ac:dyDescent="0.35"/>
    <row r="94" spans="1:16" s="17" customFormat="1" ht="15" customHeight="1" x14ac:dyDescent="0.35"/>
    <row r="95" spans="1:16" s="17" customFormat="1" ht="15" customHeight="1" x14ac:dyDescent="0.35"/>
    <row r="96" spans="1:16" s="17" customFormat="1" ht="15" customHeight="1" x14ac:dyDescent="0.35"/>
    <row r="97" s="17" customFormat="1" ht="15" customHeight="1" x14ac:dyDescent="0.35"/>
    <row r="98" s="17" customFormat="1" ht="15" customHeight="1" x14ac:dyDescent="0.35"/>
    <row r="99" s="17" customFormat="1" ht="15" customHeight="1" x14ac:dyDescent="0.35"/>
    <row r="100" s="17" customFormat="1" ht="15" customHeight="1" x14ac:dyDescent="0.35"/>
    <row r="101" s="17" customFormat="1" ht="15" customHeight="1" x14ac:dyDescent="0.35"/>
    <row r="102" s="17" customFormat="1" ht="15" customHeight="1" x14ac:dyDescent="0.35"/>
  </sheetData>
  <autoFilter ref="A3:P90" xr:uid="{DF73EBC6-562C-43C8-B8B8-BB60B7F9B84C}">
    <filterColumn colId="4">
      <filters>
        <filter val="Daily"/>
        <filter val="Sun,Wed"/>
      </filters>
    </filterColumn>
    <sortState xmlns:xlrd2="http://schemas.microsoft.com/office/spreadsheetml/2017/richdata2" ref="A5:P84">
      <sortCondition ref="F3:F90"/>
    </sortState>
  </autoFilter>
  <mergeCells count="2">
    <mergeCell ref="B1:N1"/>
    <mergeCell ref="B2:N2"/>
  </mergeCells>
  <conditionalFormatting sqref="B1:B2">
    <cfRule type="expression" dxfId="1" priority="1">
      <formula>B1&lt;&gt;""</formula>
    </cfRule>
    <cfRule type="expression" dxfId="0" priority="2">
      <formula>B1</formula>
    </cfRule>
  </conditionalFormatting>
  <hyperlinks>
    <hyperlink ref="C83" location="'D79'!A1" display="D79" xr:uid="{6B45BBA4-7F7A-43A0-9F48-74F38A8C4D20}"/>
    <hyperlink ref="C59" location="'D78'!A1" display="D78" xr:uid="{AABF9224-659E-4F60-94BB-083557B92DFB}"/>
    <hyperlink ref="C77" location="'D74'!A1" display="D74" xr:uid="{BC76D234-7A7C-4C57-9752-5B1DD5DD9512}"/>
    <hyperlink ref="C80" location="'D77'!A1" display="D77" xr:uid="{6E511FC3-78C2-46F2-B347-789962309AA0}"/>
    <hyperlink ref="C79" location="'D76'!A1" display="D76" xr:uid="{92AE70B2-0AA9-4E5B-99FD-1718DDBC1B69}"/>
    <hyperlink ref="C57" location="'D75'!A1" display="D75" xr:uid="{60438836-3E65-41A9-93B6-3A34C19085EE}"/>
    <hyperlink ref="C75" location="'D72'!A1" display="D72" xr:uid="{79280B52-9941-424A-8ABA-CFDDC924B2C7}"/>
    <hyperlink ref="C22" location="'D71'!A1" display="D71" xr:uid="{71D7029B-4E62-4C7F-A49C-ED1CB1265535}"/>
    <hyperlink ref="C73" location="'D70'!A1" display="D70" xr:uid="{C906872F-4AD1-4B8F-AD6E-0F5E70ABC8A1}"/>
    <hyperlink ref="C71" location="'D68'!A1" display="D68" xr:uid="{CE179E4A-81D7-44D9-B2CF-858D018A06CB}"/>
    <hyperlink ref="C76" location="'D73'!A1" display="D73" xr:uid="{BE9A42DE-DA9B-4B5A-BE58-1EC8883D78E9}"/>
    <hyperlink ref="C69" location="'D66'!A1" display="D66" xr:uid="{0C3BB7D2-97FA-4150-8188-463A4D8289B8}"/>
    <hyperlink ref="C70" location="'D67'!A1" display="D67" xr:uid="{DB557E74-67B5-46A0-81D3-78E094E83EE6}"/>
    <hyperlink ref="C72" location="'D69'!A1" display="D69" xr:uid="{BC3F3B40-66D3-4655-8C51-6A4B496EBCFD}"/>
    <hyperlink ref="C68" location="'D65'!A1" display="D65" xr:uid="{ED87B0D2-6DC3-4924-B691-4D36599164F5}"/>
    <hyperlink ref="C67" location="'D64'!A1" display="D64" xr:uid="{FA4F35E3-4487-49E4-AB01-AA6D14ECF46A}"/>
    <hyperlink ref="C63" location="'D60'!A1" display="D60" xr:uid="{227B3904-76A3-4794-B83C-B776234E1A4C}"/>
    <hyperlink ref="C16" location="'D62'!A1" display="D62" xr:uid="{E960959B-C559-41C1-9742-2B3EA73E6035}"/>
    <hyperlink ref="C66" location="'D63'!A1" display="D63" xr:uid="{C0B4D566-960C-4841-B249-3A77CD79CCE1}"/>
    <hyperlink ref="C64" location="'D61'!A1" display="D61" xr:uid="{31BBECED-CC96-42EE-B87E-C03A13A3115B}"/>
    <hyperlink ref="C6" location="'D56'!A1" display="D56" xr:uid="{2A9353C7-FC67-4F8D-87A4-623BD7C0F8E8}"/>
    <hyperlink ref="C61" location="'D58'!A1" display="D58" xr:uid="{ADAFEEDB-A7A0-4EE8-8194-3CB30614B3E5}"/>
    <hyperlink ref="C62" location="'D59'!A1" display="D59" xr:uid="{5F04754C-EBFA-4203-B99B-863D8B2FE374}"/>
    <hyperlink ref="C60" location="'D57'!A1" display="D57" xr:uid="{1475DD7A-12EA-499A-916E-89E8149FF413}"/>
    <hyperlink ref="C58" location="'D55'!A1" display="D55" xr:uid="{71E3DAAB-7C62-439A-B84C-3A9930505DEF}"/>
    <hyperlink ref="C54" location="'D51'!A1" display="D51" xr:uid="{1E5DA274-3851-4D86-940E-8238DCE80BB8}"/>
    <hyperlink ref="C52" location="'D53'!A1" display="D53" xr:uid="{4FBE1ED5-F8A0-4483-91D6-06B8E32BF77F}"/>
    <hyperlink ref="C56" location="'D54'!A1" display="D54" xr:uid="{1DB3F331-A2DD-4C15-9BC5-966C7D681AB6}"/>
    <hyperlink ref="C55" location="'D52'!A1" display="D52" xr:uid="{D0C234AE-517E-438E-8A78-D2110CD52D5C}"/>
    <hyperlink ref="C50" location="'D47'!A1" display="D47" xr:uid="{9D1DBC41-C035-42C0-A2F9-A69F772997C6}"/>
    <hyperlink ref="C48" location="'D49'!A1" display="D49" xr:uid="{FE8E4790-14A8-46B1-838D-CF9EF8D78BBD}"/>
    <hyperlink ref="C53" location="'D50'!A1" display="D50" xr:uid="{26183E74-59B6-45A2-98AC-A21AA197E2B8}"/>
    <hyperlink ref="C49" location="'D46'!A1" display="D46" xr:uid="{AC2BC71B-683E-4CD4-B0FB-4D05E2A4B49F}"/>
    <hyperlink ref="C51" location="'D48'!A1" display="D48" xr:uid="{E8FBAD5A-F0BE-4B99-A771-9C9BD5C883EC}"/>
    <hyperlink ref="C41" location="'D42'!A1" display="D42" xr:uid="{590D6319-ECDB-44F8-A66A-59E98AEF2A21}"/>
    <hyperlink ref="C47" location="'D44'!A1" display="D44" xr:uid="{CC884187-2AFD-4B84-839A-1AEAEA0CDF1C}"/>
    <hyperlink ref="C45" location="'D45'!A1" display="D45" xr:uid="{F1D7CD9F-A665-4F34-B214-1826FA912D12}"/>
    <hyperlink ref="C44" location="'D41'!A1" display="D41" xr:uid="{8652F8E2-943E-4F84-8648-49754A076B30}"/>
    <hyperlink ref="C46" location="'D43'!A1" display="D43" xr:uid="{86BF1479-5898-43AB-B3C9-0A078D08C9E6}"/>
    <hyperlink ref="C40" location="'D38'!A1" display="D38" xr:uid="{908396A1-293F-41E6-9476-E6CBDC4C44A1}"/>
    <hyperlink ref="C84" location="'D35'!A1" display="D35" xr:uid="{7C3A08E3-A235-48FE-A536-720D12B6CB17}"/>
    <hyperlink ref="C43" location="'D40'!A1" display="D40" xr:uid="{E3046198-D51E-4FAE-B3B5-BA783D23C453}"/>
    <hyperlink ref="C38" location="'D37'!A1" display="D37" xr:uid="{142BC0FF-AF13-4BB6-8362-F6C4AB185CAA}"/>
    <hyperlink ref="C42" location="'D39'!A1" display="D39" xr:uid="{AFAC314A-C88E-45E0-A5E1-52FBA2AD4045}"/>
    <hyperlink ref="C39" location="'D36'!A1" display="D36" xr:uid="{1C9B509C-ABA2-460A-83B5-B4C9C51D1E5B}"/>
    <hyperlink ref="C82" location="'D34'!A1" display="D34" xr:uid="{9B582664-832C-4D0B-8E61-254EC78C2121}"/>
    <hyperlink ref="C36" location="'D33'!A1" display="D33" xr:uid="{53C51274-8E02-4870-9F58-4A60B456D503}"/>
    <hyperlink ref="C81" location="'D32'!A1" display="D32" xr:uid="{E905A517-C330-413C-87B1-2530E82F0463}"/>
    <hyperlink ref="C34" location="'D31'!A1" display="D31" xr:uid="{E89EBAB7-4E50-42A5-9D4F-E9E8823A6FE9}"/>
    <hyperlink ref="A3" location="Final!A1" display="D" xr:uid="{2EA83EFE-2E8C-4D2C-AA7D-C82CFF5F66EF}"/>
    <hyperlink ref="C32" location="'D29'!A1" display="D29" xr:uid="{B23E4C43-5A31-4540-84EE-A095A00C64CC}"/>
    <hyperlink ref="C28" location="'D25'!A1" display="D25" xr:uid="{FD107068-348C-4416-A5DB-BE12C0F922BD}"/>
    <hyperlink ref="C24" location="'D21'!A1" display="D21" xr:uid="{C7CE5351-5C26-4100-B826-F04131A22CF2}"/>
    <hyperlink ref="C78" location="'D17'!A1" display="D17" xr:uid="{4F9B764F-A7EA-4C31-BF65-DD0A6602EE81}"/>
    <hyperlink ref="C30" location="'D13'!A1" display="D13" xr:uid="{7D5257CA-7CFF-4646-9585-BFFCC31E5615}"/>
    <hyperlink ref="C12" location="'D9'!A1" display="D9" xr:uid="{75D3C86B-63B2-485E-B896-CC0DA588DFC1}"/>
    <hyperlink ref="C31" location="'D28'!A1" display="D28" xr:uid="{4B2AC374-A20B-4083-B11E-0EE10E06D915}"/>
    <hyperlink ref="C27" location="'D24'!A1" display="D24" xr:uid="{091904AA-D159-402B-9673-299B7519F000}"/>
    <hyperlink ref="C23" location="'D20'!A1" display="D20" xr:uid="{F8CC7ED7-0FE0-480A-823A-1E5BA7187722}"/>
    <hyperlink ref="C19" location="'D16'!A1" display="D16" xr:uid="{1CF2C8CB-4EE2-4E0A-BD3F-343EB09E728F}"/>
    <hyperlink ref="C15" location="'D12'!A1" display="D12" xr:uid="{9F811188-50D3-4A9C-BE06-E0426B618901}"/>
    <hyperlink ref="C11" location="'D8'!A1" display="D8" xr:uid="{3BD20AA4-7832-4263-AF43-54E58F65F071}"/>
    <hyperlink ref="C37" location="'D27'!A1" display="D27" xr:uid="{B6E29E53-76C5-4DB8-9E7E-7CA98DC1E271}"/>
    <hyperlink ref="C26" location="'D23'!A1" display="D23" xr:uid="{485F8CC4-3569-446B-BE3B-C7F087EEF64D}"/>
    <hyperlink ref="C5" location="'D19'!A1" display="D19" xr:uid="{DEBF0FCF-5FBB-4BFD-A48C-DE4EEC73D1B2}"/>
    <hyperlink ref="C18" location="'D15'!A1" display="D15" xr:uid="{CB953EAE-FE21-4689-9A67-79B181713E62}"/>
    <hyperlink ref="C14" location="'D11'!A1" display="D11" xr:uid="{6511D112-64FF-46C1-B979-DA4658488CCA}"/>
    <hyperlink ref="C10" location="'D7'!A1" display="D7" xr:uid="{14EAFC11-F7AE-45A9-AD55-1E5963700CD1}"/>
    <hyperlink ref="C33" location="'D30'!A1" display="D30" xr:uid="{79017E19-12DC-477D-A8E6-B1B428394DA3}"/>
    <hyperlink ref="C35" location="'D26'!A1" display="D26" xr:uid="{CB88D51A-299B-481C-92B1-03C1C4BCAB83}"/>
    <hyperlink ref="C25" location="'D22'!A1" display="D22" xr:uid="{DF57647C-6AE6-4E37-BB5A-75722E10519F}"/>
    <hyperlink ref="C21" location="'D18'!A1" display="D18" xr:uid="{1B6780D8-51F7-4CF3-A660-033757321758}"/>
    <hyperlink ref="C17" location="'D14'!A1" display="D14" xr:uid="{41C64DB2-1980-4907-88CD-5FC49E62E74E}"/>
    <hyperlink ref="C13" location="'D10'!A1" display="D10" xr:uid="{7197F262-A16D-4E4C-92DD-F0D56ABA8A30}"/>
    <hyperlink ref="C9" location="'D6'!A1" display="D6" xr:uid="{507A4E38-EC03-4EC5-B9AA-4B9CE9ABAEBE}"/>
    <hyperlink ref="C8" location="'D5'!A1" display="D5" xr:uid="{BEF9EB18-A7F1-4EAF-8E29-8746A55301E0}"/>
    <hyperlink ref="C7" location="'D4'!A1" display="D4" xr:uid="{0C2B5D95-4A73-4E87-BD68-C1034A37ABB3}"/>
    <hyperlink ref="C74" location="'D3'!A1" display="D3" xr:uid="{9390CB03-AB43-4B59-8BB3-56EAFD644BAB}"/>
    <hyperlink ref="C65" location="'D2'!A1" display="D2" xr:uid="{9CC1F23D-FF4A-405A-BBB1-F5663A803754}"/>
    <hyperlink ref="C4" location="'D1'!A1" display="D1" xr:uid="{D8EBDF09-C49A-4CC8-B81B-96BDDFF5E1BD}"/>
    <hyperlink ref="C20" location="'D80'!A1" display="D80" xr:uid="{E44320F5-5238-4CE6-8CE9-8D34A7CB171C}"/>
    <hyperlink ref="C29" location="'D81'!A1" display="D81" xr:uid="{B221DEB5-7C7D-4BCC-86DB-FD806E8D7A18}"/>
    <hyperlink ref="C86" location="'D83'!A1" display="D83" xr:uid="{32B2554B-973D-41F4-B406-D8A34F7157D6}"/>
    <hyperlink ref="C85" location="'D82'!A1" display="D82" xr:uid="{0B36DE02-111D-45EC-AF6E-CF4F65DD29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Chishti to Mansoor Nagar</vt:lpstr>
      <vt:lpstr>Raisamrohi</vt:lpstr>
      <vt:lpstr>Dabba Mor to Islam Chowk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Naveed Ahmad</dc:creator>
  <cp:lastModifiedBy>Naveed Ahmad</cp:lastModifiedBy>
  <dcterms:created xsi:type="dcterms:W3CDTF">2026-02-04T20:27:13Z</dcterms:created>
  <dcterms:modified xsi:type="dcterms:W3CDTF">2026-02-04T20:28:30Z</dcterms:modified>
</cp:coreProperties>
</file>